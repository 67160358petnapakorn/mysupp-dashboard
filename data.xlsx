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fact_monthly" sheetId="3" state="visible" r:id="rId5"/>
    <sheet name="fact_marketing_monthly" sheetId="4" state="visible" r:id="rId6"/>
    <sheet name="fact_funnel_monthly" sheetId="5" state="visible" r:id="rId7"/>
    <sheet name="fact_opex_monthly" sheetId="6" state="visible" r:id="rId8"/>
    <sheet name="fact_health_outcome" sheetId="7" state="visible" r:id="rId9"/>
    <sheet name="dim_month" sheetId="8" state="visible" r:id="rId10"/>
    <sheet name="dim_segment" sheetId="9" state="visible" r:id="rId11"/>
    <sheet name="dim_channe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<sst xmlns="http://schemas.openxmlformats.org/spreadsheetml/2006/main" count="123" uniqueCount="102">
  <si>
    <t xml:space="preserve">MYSUPP — ชุดข้อมูลจำลอง (Star Schema)</t>
  </si>
  <si>
    <r>
      <rPr>
        <sz val="11"/>
        <color theme="1"/>
        <rFont val="FreeSans"/>
        <family val="2"/>
      </rPr>
      <t xml:space="preserve">รายวิชา </t>
    </r>
    <r>
      <rPr>
        <sz val="11"/>
        <color theme="1"/>
        <rFont val="Calibri"/>
        <family val="2"/>
        <charset val="1"/>
      </rPr>
      <t xml:space="preserve">Business Idea Creation · </t>
    </r>
    <r>
      <rPr>
        <sz val="11"/>
        <color theme="1"/>
        <rFont val="FreeSans"/>
        <family val="2"/>
      </rPr>
      <t xml:space="preserve">จัดทำโดย เพชรนภากร พลนิกร </t>
    </r>
    <r>
      <rPr>
        <sz val="11"/>
        <color theme="1"/>
        <rFont val="Calibri"/>
        <family val="2"/>
        <charset val="1"/>
      </rPr>
      <t xml:space="preserve">67160358</t>
    </r>
  </si>
  <si>
    <r>
      <rPr>
        <sz val="11"/>
        <color theme="1"/>
        <rFont val="FreeSans"/>
        <family val="2"/>
      </rPr>
      <t xml:space="preserve">ข้อมูลทั้งหมดเป็นข้อมูลจำลอง ช่วง ต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ค</t>
    </r>
    <r>
      <rPr>
        <sz val="11"/>
        <color theme="1"/>
        <rFont val="Calibri"/>
        <family val="2"/>
        <charset val="1"/>
      </rPr>
      <t xml:space="preserve">. 68 –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ย</t>
    </r>
    <r>
      <rPr>
        <sz val="11"/>
        <color theme="1"/>
        <rFont val="Calibri"/>
        <family val="2"/>
        <charset val="1"/>
      </rPr>
      <t xml:space="preserve">. 69 (12 </t>
    </r>
    <r>
      <rPr>
        <sz val="11"/>
        <color theme="1"/>
        <rFont val="FreeSans"/>
        <family val="2"/>
      </rPr>
      <t xml:space="preserve">เดือน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สกุลเงินบาท ไม่ใช่ตัวเลขจริงของธุรกิจ</t>
    </r>
  </si>
  <si>
    <r>
      <rPr>
        <sz val="11"/>
        <color theme="1"/>
        <rFont val="FreeSans"/>
        <family val="2"/>
      </rPr>
      <t xml:space="preserve">ชีต </t>
    </r>
    <r>
      <rPr>
        <sz val="11"/>
        <color theme="1"/>
        <rFont val="Calibri"/>
        <family val="2"/>
        <charset val="1"/>
      </rPr>
      <t xml:space="preserve">Summary: </t>
    </r>
    <r>
      <rPr>
        <sz val="11"/>
        <color theme="1"/>
        <rFont val="FreeSans"/>
        <family val="2"/>
      </rPr>
      <t xml:space="preserve">ตัวเลขสรุปคำนวณด้วยสูตรจากชีต </t>
    </r>
    <r>
      <rPr>
        <sz val="11"/>
        <color theme="1"/>
        <rFont val="Calibri"/>
        <family val="2"/>
        <charset val="1"/>
      </rPr>
      <t xml:space="preserve">fact_*</t>
    </r>
  </si>
  <si>
    <r>
      <rPr>
        <sz val="11"/>
        <color theme="1"/>
        <rFont val="Calibri"/>
        <family val="2"/>
        <charset val="1"/>
      </rPr>
      <t xml:space="preserve">fact_monthly: 1 </t>
    </r>
    <r>
      <rPr>
        <sz val="11"/>
        <color theme="1"/>
        <rFont val="FreeSans"/>
        <family val="2"/>
      </rPr>
      <t xml:space="preserve">แถว </t>
    </r>
    <r>
      <rPr>
        <sz val="11"/>
        <color theme="1"/>
        <rFont val="Calibri"/>
        <family val="2"/>
        <charset val="1"/>
      </rPr>
      <t xml:space="preserve">= 1 </t>
    </r>
    <r>
      <rPr>
        <sz val="11"/>
        <color theme="1"/>
        <rFont val="FreeSans"/>
        <family val="2"/>
      </rPr>
      <t xml:space="preserve">เดือน </t>
    </r>
    <r>
      <rPr>
        <sz val="11"/>
        <color theme="1"/>
        <rFont val="Calibri"/>
        <family val="2"/>
        <charset val="1"/>
      </rPr>
      <t xml:space="preserve">× 1 </t>
    </r>
    <r>
      <rPr>
        <sz val="11"/>
        <color theme="1"/>
        <rFont val="FreeSans"/>
        <family val="2"/>
      </rPr>
      <t xml:space="preserve">กลุ่มลูกค้า </t>
    </r>
    <r>
      <rPr>
        <sz val="11"/>
        <color theme="1"/>
        <rFont val="Calibri"/>
        <family val="2"/>
        <charset val="1"/>
      </rPr>
      <t xml:space="preserve">× 1 </t>
    </r>
    <r>
      <rPr>
        <sz val="11"/>
        <color theme="1"/>
        <rFont val="FreeSans"/>
        <family val="2"/>
      </rPr>
      <t xml:space="preserve">ช่องทาง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สมาชิก ยอดขาย ต้นทุน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</si>
  <si>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fact_marketing_monthly: </t>
    </r>
    <r>
      <rPr>
        <sz val="11"/>
        <color theme="1"/>
        <rFont val="FreeSans"/>
        <family val="2"/>
      </rPr>
      <t xml:space="preserve">ค่าโฆษณา</t>
    </r>
    <r>
      <rPr>
        <sz val="11"/>
        <color theme="1"/>
        <rFont val="Calibri"/>
        <family val="2"/>
        <charset val="1"/>
      </rPr>
      <t xml:space="preserve">/KOL </t>
    </r>
    <r>
      <rPr>
        <sz val="11"/>
        <color theme="1"/>
        <rFont val="FreeSans"/>
        <family val="2"/>
      </rPr>
      <t xml:space="preserve">และสมาชิกใหม่ ต่อเดือนต่อช่องทาง</t>
    </r>
  </si>
  <si>
    <r>
      <rPr>
        <sz val="11"/>
        <color theme="1"/>
        <rFont val="Calibri"/>
        <family val="2"/>
        <charset val="1"/>
      </rPr>
      <t xml:space="preserve">fact_funnel_monthly: </t>
    </r>
    <r>
      <rPr>
        <sz val="11"/>
        <color theme="1"/>
        <rFont val="FreeSans"/>
        <family val="2"/>
      </rPr>
      <t xml:space="preserve">ผู้ใช้แต่ละขั้นของ </t>
    </r>
    <r>
      <rPr>
        <sz val="11"/>
        <color theme="1"/>
        <rFont val="Calibri"/>
        <family val="2"/>
        <charset val="1"/>
      </rPr>
      <t xml:space="preserve">Funnel </t>
    </r>
    <r>
      <rPr>
        <sz val="11"/>
        <color theme="1"/>
        <rFont val="FreeSans"/>
        <family val="2"/>
      </rPr>
      <t xml:space="preserve">ต่อเดือนต่อช่องทาง</t>
    </r>
  </si>
  <si>
    <r>
      <rPr>
        <sz val="11"/>
        <color theme="1"/>
        <rFont val="Calibri"/>
        <family val="2"/>
        <charset val="1"/>
      </rPr>
      <t xml:space="preserve">fact_opex_monthly: </t>
    </r>
    <r>
      <rPr>
        <sz val="11"/>
        <color theme="1"/>
        <rFont val="FreeSans"/>
        <family val="2"/>
      </rPr>
      <t xml:space="preserve">ค่าใช้จ่ายคงที่รายเดือน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ทีมงาน </t>
    </r>
    <r>
      <rPr>
        <sz val="11"/>
        <color theme="1"/>
        <rFont val="Calibri"/>
        <family val="2"/>
        <charset val="1"/>
      </rPr>
      <t xml:space="preserve">AI/Cloud </t>
    </r>
    <r>
      <rPr>
        <sz val="11"/>
        <color theme="1"/>
        <rFont val="FreeSans"/>
        <family val="2"/>
      </rPr>
      <t xml:space="preserve">แอป ลูกค้าสัมพันธ์ ลิขสิทธิ์ ความปลอดภัย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</si>
  <si>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fact_health_outcome: </t>
    </r>
    <r>
      <rPr>
        <sz val="11"/>
        <color theme="1"/>
        <rFont val="FreeSans"/>
        <family val="2"/>
      </rPr>
      <t xml:space="preserve">ผู้ใช้ที่ค่าตรวจเลือดดีขึ้นหลังใช้ครบ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เดือน แยกตัวชี้วัด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FreeSans"/>
        <family val="2"/>
      </rPr>
      <t xml:space="preserve">กลุ่มลูกค้า</t>
    </r>
  </si>
  <si>
    <r>
      <rPr>
        <sz val="11"/>
        <color theme="1"/>
        <rFont val="Calibri"/>
        <family val="2"/>
        <charset val="1"/>
      </rPr>
      <t xml:space="preserve">dim_*: </t>
    </r>
    <r>
      <rPr>
        <sz val="11"/>
        <color theme="1"/>
        <rFont val="FreeSans"/>
        <family val="2"/>
      </rPr>
      <t xml:space="preserve">ตารางมิติ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เดือน กลุ่มลูกค้า ช่องทาง ตัวชี้วัดสุขภาพ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</si>
  <si>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สมมติฐานสำคัญ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ราคาเฉลี่ย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ออเดอร์ </t>
    </r>
    <r>
      <rPr>
        <sz val="11"/>
        <color theme="1"/>
        <rFont val="Calibri"/>
        <family val="2"/>
        <charset val="1"/>
      </rPr>
      <t xml:space="preserve">700–920 </t>
    </r>
    <r>
      <rPr>
        <sz val="11"/>
        <color theme="1"/>
        <rFont val="FreeSans"/>
        <family val="2"/>
      </rPr>
      <t xml:space="preserve">บาท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</rPr>
      <t xml:space="preserve">ค่าสมาชิก </t>
    </r>
    <r>
      <rPr>
        <sz val="11"/>
        <color theme="1"/>
        <rFont val="Calibri"/>
        <family val="2"/>
        <charset val="1"/>
      </rPr>
      <t xml:space="preserve">149 </t>
    </r>
    <r>
      <rPr>
        <sz val="11"/>
        <color theme="1"/>
        <rFont val="FreeSans"/>
        <family val="2"/>
      </rPr>
      <t xml:space="preserve">บาท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คน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เดือน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</rPr>
      <t xml:space="preserve">ที่ปรึกษา </t>
    </r>
    <r>
      <rPr>
        <sz val="11"/>
        <color theme="1"/>
        <rFont val="Calibri"/>
        <family val="2"/>
        <charset val="1"/>
      </rPr>
      <t xml:space="preserve">Premium 10% </t>
    </r>
    <r>
      <rPr>
        <sz val="11"/>
        <color theme="1"/>
        <rFont val="FreeSans"/>
        <family val="2"/>
      </rPr>
      <t xml:space="preserve">ของสมาชิก </t>
    </r>
    <r>
      <rPr>
        <sz val="11"/>
        <color theme="1"/>
        <rFont val="Calibri"/>
        <family val="2"/>
        <charset val="1"/>
      </rPr>
      <t xml:space="preserve">×1,200 </t>
    </r>
    <r>
      <rPr>
        <sz val="11"/>
        <color theme="1"/>
        <rFont val="FreeSans"/>
        <family val="2"/>
      </rPr>
      <t xml:space="preserve">บาท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</rPr>
      <t xml:space="preserve">ต้นทุนสินค้า ≈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FreeSans"/>
        <family val="2"/>
      </rPr>
      <t xml:space="preserve">ของยอดขายอาหารเสริม</t>
    </r>
  </si>
  <si>
    <r>
      <rPr>
        <sz val="11"/>
        <color theme="1"/>
        <rFont val="FreeSans"/>
        <family val="2"/>
      </rPr>
      <t xml:space="preserve">สร้างด้วย </t>
    </r>
    <r>
      <rPr>
        <sz val="11"/>
        <color theme="1"/>
        <rFont val="Calibri"/>
        <family val="2"/>
        <charset val="1"/>
      </rPr>
      <t xml:space="preserve">src/generate_data.py (random seed </t>
    </r>
    <r>
      <rPr>
        <sz val="11"/>
        <color theme="1"/>
        <rFont val="FreeSans"/>
        <family val="2"/>
      </rPr>
      <t xml:space="preserve">คงที่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FreeSans"/>
        <family val="2"/>
      </rPr>
      <t xml:space="preserve">แก้ตัวเลขแล้วรันใหม่ได้</t>
    </r>
  </si>
  <si>
    <t xml:space="preserve">สรุปตัวเลขหลัก (คำนวณด้วยสูตรจากชีต fact_*)</t>
  </si>
  <si>
    <t xml:space="preserve">ตัวชี้วัด</t>
  </si>
  <si>
    <t xml:space="preserve">ค่า</t>
  </si>
  <si>
    <t xml:space="preserve">ยอดขายสุทธิรวม (บาท)</t>
  </si>
  <si>
    <t xml:space="preserve">ต้นทุนสินค้า (บาท)</t>
  </si>
  <si>
    <t xml:space="preserve">กำไรขั้นต้น (%)</t>
  </si>
  <si>
    <t xml:space="preserve">ค่าธรรมเนียม+ค่าจัดส่ง (บาท)</t>
  </si>
  <si>
    <t xml:space="preserve">ค่าการตลาด (บาท)</t>
  </si>
  <si>
    <t xml:space="preserve">ค่าใช้จ่ายคงที่ (บาท)</t>
  </si>
  <si>
    <t xml:space="preserve">กำไรสุทธิ (บาท)</t>
  </si>
  <si>
    <t xml:space="preserve">สมาชิกที่ใช้งานอยู่เดือนล่าสุด (คน)</t>
  </si>
  <si>
    <t xml:space="preserve">สมาชิกใหม่ทั้งหมด (คน)</t>
  </si>
  <si>
    <t xml:space="preserve">CAC เฉลี่ย (บาท/คน)</t>
  </si>
  <si>
    <t xml:space="preserve">row_key</t>
  </si>
  <si>
    <t xml:space="preserve">month_key</t>
  </si>
  <si>
    <t xml:space="preserve">segment_key</t>
  </si>
  <si>
    <t xml:space="preserve">channel_key</t>
  </si>
  <si>
    <t xml:space="preserve">new_members</t>
  </si>
  <si>
    <t xml:space="preserve">active_members_end</t>
  </si>
  <si>
    <t xml:space="preserve">churned_members</t>
  </si>
  <si>
    <t xml:space="preserve">adherent_members</t>
  </si>
  <si>
    <t xml:space="preserve">orders</t>
  </si>
  <si>
    <t xml:space="preserve">supplement_revenue</t>
  </si>
  <si>
    <t xml:space="preserve">subscription_revenue</t>
  </si>
  <si>
    <t xml:space="preserve">consult_revenue</t>
  </si>
  <si>
    <t xml:space="preserve">b2b_revenue</t>
  </si>
  <si>
    <t xml:space="preserve">cogs</t>
  </si>
  <si>
    <t xml:space="preserve">platform_fee</t>
  </si>
  <si>
    <t xml:space="preserve">shipping_cost</t>
  </si>
  <si>
    <t xml:space="preserve">ad_spend</t>
  </si>
  <si>
    <t xml:space="preserve">kol_cost</t>
  </si>
  <si>
    <t xml:space="preserve">impressions</t>
  </si>
  <si>
    <t xml:space="preserve">clicks</t>
  </si>
  <si>
    <t xml:space="preserve">visitors</t>
  </si>
  <si>
    <t xml:space="preserve">questionnaire_done</t>
  </si>
  <si>
    <t xml:space="preserve">blood_result_uploaded</t>
  </si>
  <si>
    <t xml:space="preserve">subscribed</t>
  </si>
  <si>
    <t xml:space="preserve">renewed_month3</t>
  </si>
  <si>
    <t xml:space="preserve">referred_friend</t>
  </si>
  <si>
    <t xml:space="preserve">team_cost</t>
  </si>
  <si>
    <t xml:space="preserve">ai_cloud_cost</t>
  </si>
  <si>
    <t xml:space="preserve">app_dev_cost</t>
  </si>
  <si>
    <t xml:space="preserve">customer_service_cost</t>
  </si>
  <si>
    <t xml:space="preserve">software_license_cost</t>
  </si>
  <si>
    <t xml:space="preserve">cybersecurity_cost</t>
  </si>
  <si>
    <t xml:space="preserve">marker_key</t>
  </si>
  <si>
    <t xml:space="preserve">marker_name</t>
  </si>
  <si>
    <t xml:space="preserve">users_tested</t>
  </si>
  <si>
    <t xml:space="preserve">users_improved</t>
  </si>
  <si>
    <t xml:space="preserve">แมกนีเซียม</t>
  </si>
  <si>
    <t xml:space="preserve">วิตามินดี</t>
  </si>
  <si>
    <t xml:space="preserve">ธาตุเหล็ก</t>
  </si>
  <si>
    <t xml:space="preserve">โอเมก้า-3 / ไขมันในเลือด</t>
  </si>
  <si>
    <t xml:space="preserve">year</t>
  </si>
  <si>
    <t xml:space="preserve">month_num</t>
  </si>
  <si>
    <t xml:space="preserve">label_th</t>
  </si>
  <si>
    <t xml:space="preserve">ต.ค. 68</t>
  </si>
  <si>
    <t xml:space="preserve">พ.ย. 68</t>
  </si>
  <si>
    <t xml:space="preserve">ธ.ค. 68</t>
  </si>
  <si>
    <t xml:space="preserve">ม.ค. 69</t>
  </si>
  <si>
    <t xml:space="preserve">ก.พ. 69</t>
  </si>
  <si>
    <t xml:space="preserve">มี.ค. 69</t>
  </si>
  <si>
    <t xml:space="preserve">เม.ย. 69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</si>
  <si>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</si>
  <si>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</si>
  <si>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</si>
  <si>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</si>
  <si>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</si>
  <si>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segment_name</t>
  </si>
  <si>
    <t xml:space="preserve">description_th</t>
  </si>
  <si>
    <t xml:space="preserve">วัยทำงาน 25–45 ปี</t>
  </si>
  <si>
    <t xml:space="preserve">สุขภาพเชิงป้องกัน ไม่มีเวลาพบแพทย์/นักโภชนาการบ่อยๆ</t>
  </si>
  <si>
    <t xml:space="preserve">ออกกำลังกาย/ฟิตเนส</t>
  </si>
  <si>
    <t xml:space="preserve">ต้องการอาหารเสริมตรงเป้าหมาย เพิ่มกล้ามเนื้อ ฟื้นฟูร่างกาย</t>
  </si>
  <si>
    <t xml:space="preserve">ผู้สูงอายุ/ผู้ดูแล</t>
  </si>
  <si>
    <t xml:space="preserve">ดูแลสุขภาพเชิงป้องกันแบบเฉพาะบุคคล</t>
  </si>
  <si>
    <t xml:space="preserve">channel_name</t>
  </si>
  <si>
    <t xml:space="preserve">channel_group</t>
  </si>
  <si>
    <t xml:space="preserve">fee_rate</t>
  </si>
  <si>
    <t xml:space="preserve">shipping_cost_per_order</t>
  </si>
  <si>
    <t xml:space="preserve">Social Media</t>
  </si>
  <si>
    <t xml:space="preserve">Social Commerce</t>
  </si>
  <si>
    <t xml:space="preserve">App / Website MYSUPP</t>
  </si>
  <si>
    <t xml:space="preserve">Owned</t>
  </si>
  <si>
    <t xml:space="preserve">คลินิก/โรงพยาบาลพันธมิตร</t>
  </si>
  <si>
    <t xml:space="preserve">Partner</t>
  </si>
  <si>
    <t xml:space="preserve">E-commerce (Shopee/Lazada)</t>
  </si>
  <si>
    <t xml:space="preserve">Marketplace</t>
  </si>
  <si>
    <t xml:space="preserve">องค์กร (B2B)</t>
  </si>
  <si>
    <t xml:space="preserve">B2B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</si>
</sst>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FreeSans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3B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2" t="s">
        <v>2</v>
      </c>
    </row>
    <row r="5" customFormat="false" ht="14.9" hidden="false" customHeight="false" outlineLevel="0" collapsed="false">
      <c r="A5" s="2" t="s">
        <v>3</v>
      </c>
    </row>
    <row r="6" customFormat="false" ht="14.9" hidden="false" customHeight="false" outlineLevel="0" collapsed="false">
      <c r="A6" s="0" t="s">
        <v>4</v>
      </c>
    </row>
    <row r="7" customFormat="false" ht="14.9" hidden="false" customHeight="false" outlineLevel="0" collapsed="false">
      <c r="A7" s="0" t="s">
        <v>5</v>
      </c>
    </row>
    <row r="8" customFormat="false" ht="14.9" hidden="false" customHeight="false" outlineLevel="0" collapsed="false">
      <c r="A8" s="0" t="s">
        <v>6</v>
      </c>
    </row>
    <row r="9" customFormat="false" ht="14.9" hidden="false" customHeight="false" outlineLevel="0" collapsed="false">
      <c r="A9" s="0" t="s">
        <v>7</v>
      </c>
    </row>
    <row r="10" customFormat="false" ht="14.9" hidden="false" customHeight="false" outlineLevel="0" collapsed="false">
      <c r="A10" s="0" t="s">
        <v>8</v>
      </c>
    </row>
    <row r="11" customFormat="false" ht="14.9" hidden="false" customHeight="false" outlineLevel="0" collapsed="false">
      <c r="A11" s="0" t="s">
        <v>9</v>
      </c>
    </row>
    <row r="13" customFormat="false" ht="14.9" hidden="false" customHeight="false" outlineLevel="0" collapsed="false">
      <c r="A13" s="2" t="s">
        <v>10</v>
      </c>
    </row>
    <row r="14" customFormat="false" ht="14.9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12</v>
      </c>
    </row>
    <row r="2" customFormat="false" ht="15" hidden="false" customHeight="false" outlineLevel="0" collapsed="false">
      <c r="A2" s="4" t="s">
        <v>13</v>
      </c>
      <c r="B2" s="4" t="s">
        <v>14</v>
      </c>
    </row>
    <row r="3" customFormat="false" ht="15" hidden="false" customHeight="false" outlineLevel="0" collapsed="false">
      <c r="A3" s="5" t="s">
        <v>15</v>
      </c>
      <c r="B3" s="6" t="n">
        <f aca="false">SUM(fact_monthly!$J$2:$J$181)+SUM(fact_monthly!$K$2:$K$181)+SUM(fact_monthly!$L$2:$L$181)+SUM(fact_monthly!$M$2:$M$181)</f>
        <v>14928511</v>
      </c>
    </row>
    <row r="4" customFormat="false" ht="15" hidden="false" customHeight="false" outlineLevel="0" collapsed="false">
      <c r="A4" s="5" t="s">
        <v>16</v>
      </c>
      <c r="B4" s="6" t="n">
        <f aca="false">SUM(fact_monthly!$N$2:$N$181)</f>
        <v>4324546</v>
      </c>
    </row>
    <row r="5" customFormat="false" ht="15" hidden="false" customHeight="false" outlineLevel="0" collapsed="false">
      <c r="A5" s="5" t="s">
        <v>17</v>
      </c>
      <c r="B5" s="7" t="n">
        <f aca="false">1-B4/B3</f>
        <v>0.710316320227784</v>
      </c>
    </row>
    <row r="6" customFormat="false" ht="15" hidden="false" customHeight="false" outlineLevel="0" collapsed="false">
      <c r="A6" s="5" t="s">
        <v>18</v>
      </c>
      <c r="B6" s="6" t="n">
        <f aca="false">SUM(fact_monthly!$O$2:$O$181)+SUM(fact_monthly!$P$2:$P$181)</f>
        <v>1052635</v>
      </c>
    </row>
    <row r="7" customFormat="false" ht="15" hidden="false" customHeight="false" outlineLevel="0" collapsed="false">
      <c r="A7" s="5" t="s">
        <v>19</v>
      </c>
      <c r="B7" s="6" t="n">
        <f aca="false">SUM(fact_marketing_monthly!$D$2:$D$61)+SUM(fact_marketing_monthly!$E$2:$E$61)</f>
        <v>2034904</v>
      </c>
    </row>
    <row r="8" customFormat="false" ht="15" hidden="false" customHeight="false" outlineLevel="0" collapsed="false">
      <c r="A8" s="5" t="s">
        <v>20</v>
      </c>
      <c r="B8" s="6" t="n">
        <f aca="false">SUM(fact_opex_monthly!$B$2:$G$13)</f>
        <v>6318000</v>
      </c>
    </row>
    <row r="9" customFormat="false" ht="15" hidden="false" customHeight="false" outlineLevel="0" collapsed="false">
      <c r="A9" s="5" t="s">
        <v>21</v>
      </c>
      <c r="B9" s="6" t="n">
        <f aca="false">B3-B4-B6-B7-B8</f>
        <v>1198426</v>
      </c>
    </row>
    <row r="10" customFormat="false" ht="15" hidden="false" customHeight="false" outlineLevel="0" collapsed="false">
      <c r="A10" s="5" t="s">
        <v>22</v>
      </c>
      <c r="B10" s="6" t="n">
        <f aca="false">SUMIFS(fact_monthly!$F$2:$F$181,fact_monthly!$B$2:$B$181,20260901)</f>
        <v>2827</v>
      </c>
    </row>
    <row r="11" customFormat="false" ht="15" hidden="false" customHeight="false" outlineLevel="0" collapsed="false">
      <c r="A11" s="5" t="s">
        <v>23</v>
      </c>
      <c r="B11" s="6" t="n">
        <f aca="false">SUM(fact_monthly!$E$2:$E$181)</f>
        <v>3783</v>
      </c>
    </row>
    <row r="12" customFormat="false" ht="15" hidden="false" customHeight="false" outlineLevel="0" collapsed="false">
      <c r="A12" s="5" t="s">
        <v>24</v>
      </c>
      <c r="B12" s="6" t="n">
        <f aca="false">B7/B11</f>
        <v>537.907480835316</v>
      </c>
    </row>
    <row r="13" customFormat="false" ht="15" hidden="false" customHeight="false" outlineLevel="0" collapsed="false">
      <c r="B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6"/>
  </cols>
  <sheetData>
    <row r="1" customFormat="false" ht="15" hidden="false" customHeight="false" outlineLevel="0" collapsed="false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</row>
    <row r="2" customFormat="false" ht="15" hidden="false" customHeight="false" outlineLevel="0" collapsed="false">
      <c r="A2" s="5" t="n">
        <v>1</v>
      </c>
      <c r="B2" s="5" t="n">
        <v>20251001</v>
      </c>
      <c r="C2" s="5" t="n">
        <v>1</v>
      </c>
      <c r="D2" s="5" t="n">
        <v>1</v>
      </c>
      <c r="E2" s="5" t="n">
        <v>13</v>
      </c>
      <c r="F2" s="5" t="n">
        <v>13</v>
      </c>
      <c r="G2" s="5" t="n">
        <v>0</v>
      </c>
      <c r="H2" s="5" t="n">
        <v>8</v>
      </c>
      <c r="I2" s="5" t="n">
        <v>12</v>
      </c>
      <c r="J2" s="5" t="n">
        <v>9439</v>
      </c>
      <c r="K2" s="5" t="n">
        <v>1937</v>
      </c>
      <c r="L2" s="5" t="n">
        <v>1506</v>
      </c>
      <c r="M2" s="5" t="n">
        <v>0</v>
      </c>
      <c r="N2" s="5" t="n">
        <v>3932</v>
      </c>
      <c r="O2" s="5" t="n">
        <v>0</v>
      </c>
      <c r="P2" s="5" t="n">
        <v>540</v>
      </c>
    </row>
    <row r="3" customFormat="false" ht="15" hidden="false" customHeight="false" outlineLevel="0" collapsed="false">
      <c r="A3" s="5" t="n">
        <v>2</v>
      </c>
      <c r="B3" s="5" t="n">
        <v>20251001</v>
      </c>
      <c r="C3" s="5" t="n">
        <v>2</v>
      </c>
      <c r="D3" s="5" t="n">
        <v>1</v>
      </c>
      <c r="E3" s="5" t="n">
        <v>7</v>
      </c>
      <c r="F3" s="5" t="n">
        <v>7</v>
      </c>
      <c r="G3" s="5" t="n">
        <v>0</v>
      </c>
      <c r="H3" s="5" t="n">
        <v>4</v>
      </c>
      <c r="I3" s="5" t="n">
        <v>7</v>
      </c>
      <c r="J3" s="5" t="n">
        <v>6610</v>
      </c>
      <c r="K3" s="5" t="n">
        <v>1043</v>
      </c>
      <c r="L3" s="5" t="n">
        <v>810</v>
      </c>
      <c r="M3" s="5" t="n">
        <v>0</v>
      </c>
      <c r="N3" s="5" t="n">
        <v>2657</v>
      </c>
      <c r="O3" s="5" t="n">
        <v>0</v>
      </c>
      <c r="P3" s="5" t="n">
        <v>315</v>
      </c>
    </row>
    <row r="4" customFormat="false" ht="15" hidden="false" customHeight="false" outlineLevel="0" collapsed="false">
      <c r="A4" s="5" t="n">
        <v>3</v>
      </c>
      <c r="B4" s="5" t="n">
        <v>20251001</v>
      </c>
      <c r="C4" s="5" t="n">
        <v>3</v>
      </c>
      <c r="D4" s="5" t="n">
        <v>1</v>
      </c>
      <c r="E4" s="5" t="n">
        <v>4</v>
      </c>
      <c r="F4" s="5" t="n">
        <v>4</v>
      </c>
      <c r="G4" s="5" t="n">
        <v>0</v>
      </c>
      <c r="H4" s="5" t="n">
        <v>2</v>
      </c>
      <c r="I4" s="5" t="n">
        <v>4</v>
      </c>
      <c r="J4" s="5" t="n">
        <v>2781</v>
      </c>
      <c r="K4" s="5" t="n">
        <v>596</v>
      </c>
      <c r="L4" s="5" t="n">
        <v>446</v>
      </c>
      <c r="M4" s="5" t="n">
        <v>0</v>
      </c>
      <c r="N4" s="5" t="n">
        <v>1073</v>
      </c>
      <c r="O4" s="5" t="n">
        <v>0</v>
      </c>
      <c r="P4" s="5" t="n">
        <v>180</v>
      </c>
    </row>
    <row r="5" customFormat="false" ht="15" hidden="false" customHeight="false" outlineLevel="0" collapsed="false">
      <c r="A5" s="5" t="n">
        <v>4</v>
      </c>
      <c r="B5" s="5" t="n">
        <v>20251001</v>
      </c>
      <c r="C5" s="5" t="n">
        <v>1</v>
      </c>
      <c r="D5" s="5" t="n">
        <v>2</v>
      </c>
      <c r="E5" s="5" t="n">
        <v>11</v>
      </c>
      <c r="F5" s="5" t="n">
        <v>11</v>
      </c>
      <c r="G5" s="5" t="n">
        <v>0</v>
      </c>
      <c r="H5" s="5" t="n">
        <v>7</v>
      </c>
      <c r="I5" s="5" t="n">
        <v>10</v>
      </c>
      <c r="J5" s="5" t="n">
        <v>8033</v>
      </c>
      <c r="K5" s="5" t="n">
        <v>1639</v>
      </c>
      <c r="L5" s="5" t="n">
        <v>1379</v>
      </c>
      <c r="M5" s="5" t="n">
        <v>0</v>
      </c>
      <c r="N5" s="5" t="n">
        <v>3172</v>
      </c>
      <c r="O5" s="5" t="n">
        <v>242</v>
      </c>
      <c r="P5" s="5" t="n">
        <v>450</v>
      </c>
    </row>
    <row r="6" customFormat="false" ht="15" hidden="false" customHeight="false" outlineLevel="0" collapsed="false">
      <c r="A6" s="5" t="n">
        <v>5</v>
      </c>
      <c r="B6" s="5" t="n">
        <v>20251001</v>
      </c>
      <c r="C6" s="5" t="n">
        <v>2</v>
      </c>
      <c r="D6" s="5" t="n">
        <v>2</v>
      </c>
      <c r="E6" s="5" t="n">
        <v>6</v>
      </c>
      <c r="F6" s="5" t="n">
        <v>6</v>
      </c>
      <c r="G6" s="5" t="n">
        <v>0</v>
      </c>
      <c r="H6" s="5" t="n">
        <v>3</v>
      </c>
      <c r="I6" s="5" t="n">
        <v>6</v>
      </c>
      <c r="J6" s="5" t="n">
        <v>5409</v>
      </c>
      <c r="K6" s="5" t="n">
        <v>894</v>
      </c>
      <c r="L6" s="5" t="n">
        <v>683</v>
      </c>
      <c r="M6" s="5" t="n">
        <v>0</v>
      </c>
      <c r="N6" s="5" t="n">
        <v>2088</v>
      </c>
      <c r="O6" s="5" t="n">
        <v>158</v>
      </c>
      <c r="P6" s="5" t="n">
        <v>270</v>
      </c>
    </row>
    <row r="7" customFormat="false" ht="15" hidden="false" customHeight="false" outlineLevel="0" collapsed="false">
      <c r="A7" s="5" t="n">
        <v>6</v>
      </c>
      <c r="B7" s="5" t="n">
        <v>20251001</v>
      </c>
      <c r="C7" s="5" t="n">
        <v>3</v>
      </c>
      <c r="D7" s="5" t="n">
        <v>2</v>
      </c>
      <c r="E7" s="5" t="n">
        <v>4</v>
      </c>
      <c r="F7" s="5" t="n">
        <v>4</v>
      </c>
      <c r="G7" s="5" t="n">
        <v>0</v>
      </c>
      <c r="H7" s="5" t="n">
        <v>2</v>
      </c>
      <c r="I7" s="5" t="n">
        <v>4</v>
      </c>
      <c r="J7" s="5" t="n">
        <v>2804</v>
      </c>
      <c r="K7" s="5" t="n">
        <v>596</v>
      </c>
      <c r="L7" s="5" t="n">
        <v>435</v>
      </c>
      <c r="M7" s="5" t="n">
        <v>0</v>
      </c>
      <c r="N7" s="5" t="n">
        <v>1075</v>
      </c>
      <c r="O7" s="5" t="n">
        <v>85</v>
      </c>
      <c r="P7" s="5" t="n">
        <v>180</v>
      </c>
    </row>
    <row r="8" customFormat="false" ht="15" hidden="false" customHeight="false" outlineLevel="0" collapsed="false">
      <c r="A8" s="5" t="n">
        <v>7</v>
      </c>
      <c r="B8" s="5" t="n">
        <v>20251001</v>
      </c>
      <c r="C8" s="5" t="n">
        <v>1</v>
      </c>
      <c r="D8" s="5" t="n">
        <v>3</v>
      </c>
      <c r="E8" s="5" t="n">
        <v>8</v>
      </c>
      <c r="F8" s="5" t="n">
        <v>8</v>
      </c>
      <c r="G8" s="5" t="n">
        <v>0</v>
      </c>
      <c r="H8" s="5" t="n">
        <v>5</v>
      </c>
      <c r="I8" s="5" t="n">
        <v>8</v>
      </c>
      <c r="J8" s="5" t="n">
        <v>6129</v>
      </c>
      <c r="K8" s="5" t="n">
        <v>1192</v>
      </c>
      <c r="L8" s="5" t="n">
        <v>900</v>
      </c>
      <c r="M8" s="5" t="n">
        <v>0</v>
      </c>
      <c r="N8" s="5" t="n">
        <v>2528</v>
      </c>
      <c r="O8" s="5" t="n">
        <v>732</v>
      </c>
      <c r="P8" s="5" t="n">
        <v>360</v>
      </c>
    </row>
    <row r="9" customFormat="false" ht="15" hidden="false" customHeight="false" outlineLevel="0" collapsed="false">
      <c r="A9" s="5" t="n">
        <v>8</v>
      </c>
      <c r="B9" s="5" t="n">
        <v>20251001</v>
      </c>
      <c r="C9" s="5" t="n">
        <v>2</v>
      </c>
      <c r="D9" s="5" t="n">
        <v>3</v>
      </c>
      <c r="E9" s="5" t="n">
        <v>5</v>
      </c>
      <c r="F9" s="5" t="n">
        <v>5</v>
      </c>
      <c r="G9" s="5" t="n">
        <v>0</v>
      </c>
      <c r="H9" s="5" t="n">
        <v>3</v>
      </c>
      <c r="I9" s="5" t="n">
        <v>5</v>
      </c>
      <c r="J9" s="5" t="n">
        <v>4661</v>
      </c>
      <c r="K9" s="5" t="n">
        <v>745</v>
      </c>
      <c r="L9" s="5" t="n">
        <v>548</v>
      </c>
      <c r="M9" s="5" t="n">
        <v>0</v>
      </c>
      <c r="N9" s="5" t="n">
        <v>1837</v>
      </c>
      <c r="O9" s="5" t="n">
        <v>541</v>
      </c>
      <c r="P9" s="5" t="n">
        <v>225</v>
      </c>
    </row>
    <row r="10" customFormat="false" ht="15" hidden="false" customHeight="false" outlineLevel="0" collapsed="false">
      <c r="A10" s="5" t="n">
        <v>9</v>
      </c>
      <c r="B10" s="5" t="n">
        <v>20251001</v>
      </c>
      <c r="C10" s="5" t="n">
        <v>3</v>
      </c>
      <c r="D10" s="5" t="n">
        <v>3</v>
      </c>
      <c r="E10" s="5" t="n">
        <v>3</v>
      </c>
      <c r="F10" s="5" t="n">
        <v>3</v>
      </c>
      <c r="G10" s="5" t="n">
        <v>0</v>
      </c>
      <c r="H10" s="5" t="n">
        <v>2</v>
      </c>
      <c r="I10" s="5" t="n">
        <v>3</v>
      </c>
      <c r="J10" s="5" t="n">
        <v>2149</v>
      </c>
      <c r="K10" s="5" t="n">
        <v>447</v>
      </c>
      <c r="L10" s="5" t="n">
        <v>376</v>
      </c>
      <c r="M10" s="5" t="n">
        <v>0</v>
      </c>
      <c r="N10" s="5" t="n">
        <v>828</v>
      </c>
      <c r="O10" s="5" t="n">
        <v>260</v>
      </c>
      <c r="P10" s="5" t="n">
        <v>135</v>
      </c>
    </row>
    <row r="11" customFormat="false" ht="15" hidden="false" customHeight="false" outlineLevel="0" collapsed="false">
      <c r="A11" s="5" t="n">
        <v>10</v>
      </c>
      <c r="B11" s="5" t="n">
        <v>20251001</v>
      </c>
      <c r="C11" s="5" t="n">
        <v>1</v>
      </c>
      <c r="D11" s="5" t="n">
        <v>4</v>
      </c>
      <c r="E11" s="5" t="n">
        <v>7</v>
      </c>
      <c r="F11" s="5" t="n">
        <v>7</v>
      </c>
      <c r="G11" s="5" t="n">
        <v>0</v>
      </c>
      <c r="H11" s="5" t="n">
        <v>4</v>
      </c>
      <c r="I11" s="5" t="n">
        <v>7</v>
      </c>
      <c r="J11" s="5" t="n">
        <v>5267</v>
      </c>
      <c r="K11" s="5" t="n">
        <v>1043</v>
      </c>
      <c r="L11" s="5" t="n">
        <v>775</v>
      </c>
      <c r="M11" s="5" t="n">
        <v>0</v>
      </c>
      <c r="N11" s="5" t="n">
        <v>2107</v>
      </c>
      <c r="O11" s="5" t="n">
        <v>379</v>
      </c>
      <c r="P11" s="5" t="n">
        <v>315</v>
      </c>
    </row>
    <row r="12" customFormat="false" ht="15" hidden="false" customHeight="false" outlineLevel="0" collapsed="false">
      <c r="A12" s="5" t="n">
        <v>11</v>
      </c>
      <c r="B12" s="5" t="n">
        <v>20251001</v>
      </c>
      <c r="C12" s="5" t="n">
        <v>2</v>
      </c>
      <c r="D12" s="5" t="n">
        <v>4</v>
      </c>
      <c r="E12" s="5" t="n">
        <v>3</v>
      </c>
      <c r="F12" s="5" t="n">
        <v>3</v>
      </c>
      <c r="G12" s="5" t="n">
        <v>0</v>
      </c>
      <c r="H12" s="5" t="n">
        <v>2</v>
      </c>
      <c r="I12" s="5" t="n">
        <v>3</v>
      </c>
      <c r="J12" s="5" t="n">
        <v>2693</v>
      </c>
      <c r="K12" s="5" t="n">
        <v>447</v>
      </c>
      <c r="L12" s="5" t="n">
        <v>368</v>
      </c>
      <c r="M12" s="5" t="n">
        <v>0</v>
      </c>
      <c r="N12" s="5" t="n">
        <v>1083</v>
      </c>
      <c r="O12" s="5" t="n">
        <v>188</v>
      </c>
      <c r="P12" s="5" t="n">
        <v>135</v>
      </c>
    </row>
    <row r="13" customFormat="false" ht="15" hidden="false" customHeight="false" outlineLevel="0" collapsed="false">
      <c r="A13" s="5" t="n">
        <v>12</v>
      </c>
      <c r="B13" s="5" t="n">
        <v>20251001</v>
      </c>
      <c r="C13" s="5" t="n">
        <v>3</v>
      </c>
      <c r="D13" s="5" t="n">
        <v>4</v>
      </c>
      <c r="E13" s="5" t="n">
        <v>2</v>
      </c>
      <c r="F13" s="5" t="n">
        <v>2</v>
      </c>
      <c r="G13" s="5" t="n">
        <v>0</v>
      </c>
      <c r="H13" s="5" t="n">
        <v>1</v>
      </c>
      <c r="I13" s="5" t="n">
        <v>2</v>
      </c>
      <c r="J13" s="5" t="n">
        <v>1445</v>
      </c>
      <c r="K13" s="5" t="n">
        <v>298</v>
      </c>
      <c r="L13" s="5" t="n">
        <v>219</v>
      </c>
      <c r="M13" s="5" t="n">
        <v>0</v>
      </c>
      <c r="N13" s="5" t="n">
        <v>589</v>
      </c>
      <c r="O13" s="5" t="n">
        <v>105</v>
      </c>
      <c r="P13" s="5" t="n">
        <v>90</v>
      </c>
    </row>
    <row r="14" customFormat="false" ht="15" hidden="false" customHeight="false" outlineLevel="0" collapsed="false">
      <c r="A14" s="5" t="n">
        <v>13</v>
      </c>
      <c r="B14" s="5" t="n">
        <v>20251001</v>
      </c>
      <c r="C14" s="5" t="n">
        <v>1</v>
      </c>
      <c r="D14" s="5" t="n">
        <v>5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</row>
    <row r="15" customFormat="false" ht="15" hidden="false" customHeight="false" outlineLevel="0" collapsed="false">
      <c r="A15" s="5" t="n">
        <v>14</v>
      </c>
      <c r="B15" s="5" t="n">
        <v>20251001</v>
      </c>
      <c r="C15" s="5" t="n">
        <v>2</v>
      </c>
      <c r="D15" s="5" t="n">
        <v>5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 customFormat="false" ht="15" hidden="false" customHeight="false" outlineLevel="0" collapsed="false">
      <c r="A16" s="5" t="n">
        <v>15</v>
      </c>
      <c r="B16" s="5" t="n">
        <v>20251001</v>
      </c>
      <c r="C16" s="5" t="n">
        <v>3</v>
      </c>
      <c r="D16" s="5" t="n">
        <v>5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  <row r="17" customFormat="false" ht="15" hidden="false" customHeight="false" outlineLevel="0" collapsed="false">
      <c r="A17" s="5" t="n">
        <v>16</v>
      </c>
      <c r="B17" s="5" t="n">
        <v>20251101</v>
      </c>
      <c r="C17" s="5" t="n">
        <v>1</v>
      </c>
      <c r="D17" s="5" t="n">
        <v>1</v>
      </c>
      <c r="E17" s="5" t="n">
        <v>17</v>
      </c>
      <c r="F17" s="5" t="n">
        <v>28</v>
      </c>
      <c r="G17" s="5" t="n">
        <v>2</v>
      </c>
      <c r="H17" s="5" t="n">
        <v>18</v>
      </c>
      <c r="I17" s="5" t="n">
        <v>27</v>
      </c>
      <c r="J17" s="5" t="n">
        <v>20711</v>
      </c>
      <c r="K17" s="5" t="n">
        <v>4172</v>
      </c>
      <c r="L17" s="5" t="n">
        <v>3393</v>
      </c>
      <c r="M17" s="5" t="n">
        <v>0</v>
      </c>
      <c r="N17" s="5" t="n">
        <v>8657</v>
      </c>
      <c r="O17" s="5" t="n">
        <v>0</v>
      </c>
      <c r="P17" s="5" t="n">
        <v>1215</v>
      </c>
    </row>
    <row r="18" customFormat="false" ht="15" hidden="false" customHeight="false" outlineLevel="0" collapsed="false">
      <c r="A18" s="5" t="n">
        <v>17</v>
      </c>
      <c r="B18" s="5" t="n">
        <v>20251101</v>
      </c>
      <c r="C18" s="5" t="n">
        <v>2</v>
      </c>
      <c r="D18" s="5" t="n">
        <v>1</v>
      </c>
      <c r="E18" s="5" t="n">
        <v>10</v>
      </c>
      <c r="F18" s="5" t="n">
        <v>16</v>
      </c>
      <c r="G18" s="5" t="n">
        <v>1</v>
      </c>
      <c r="H18" s="5" t="n">
        <v>10</v>
      </c>
      <c r="I18" s="5" t="n">
        <v>16</v>
      </c>
      <c r="J18" s="5" t="n">
        <v>14749</v>
      </c>
      <c r="K18" s="5" t="n">
        <v>2384</v>
      </c>
      <c r="L18" s="5" t="n">
        <v>2108</v>
      </c>
      <c r="M18" s="5" t="n">
        <v>0</v>
      </c>
      <c r="N18" s="5" t="n">
        <v>5700</v>
      </c>
      <c r="O18" s="5" t="n">
        <v>0</v>
      </c>
      <c r="P18" s="5" t="n">
        <v>720</v>
      </c>
    </row>
    <row r="19" customFormat="false" ht="15" hidden="false" customHeight="false" outlineLevel="0" collapsed="false">
      <c r="A19" s="5" t="n">
        <v>18</v>
      </c>
      <c r="B19" s="5" t="n">
        <v>20251101</v>
      </c>
      <c r="C19" s="5" t="n">
        <v>3</v>
      </c>
      <c r="D19" s="5" t="n">
        <v>1</v>
      </c>
      <c r="E19" s="5" t="n">
        <v>6</v>
      </c>
      <c r="F19" s="5" t="n">
        <v>9</v>
      </c>
      <c r="G19" s="5" t="n">
        <v>1</v>
      </c>
      <c r="H19" s="5" t="n">
        <v>5</v>
      </c>
      <c r="I19" s="5" t="n">
        <v>9</v>
      </c>
      <c r="J19" s="5" t="n">
        <v>6547</v>
      </c>
      <c r="K19" s="5" t="n">
        <v>1341</v>
      </c>
      <c r="L19" s="5" t="n">
        <v>1071</v>
      </c>
      <c r="M19" s="5" t="n">
        <v>0</v>
      </c>
      <c r="N19" s="5" t="n">
        <v>2589</v>
      </c>
      <c r="O19" s="5" t="n">
        <v>0</v>
      </c>
      <c r="P19" s="5" t="n">
        <v>405</v>
      </c>
    </row>
    <row r="20" customFormat="false" ht="15" hidden="false" customHeight="false" outlineLevel="0" collapsed="false">
      <c r="A20" s="5" t="n">
        <v>19</v>
      </c>
      <c r="B20" s="5" t="n">
        <v>20251101</v>
      </c>
      <c r="C20" s="5" t="n">
        <v>1</v>
      </c>
      <c r="D20" s="5" t="n">
        <v>2</v>
      </c>
      <c r="E20" s="5" t="n">
        <v>15</v>
      </c>
      <c r="F20" s="5" t="n">
        <v>24</v>
      </c>
      <c r="G20" s="5" t="n">
        <v>2</v>
      </c>
      <c r="H20" s="5" t="n">
        <v>14</v>
      </c>
      <c r="I20" s="5" t="n">
        <v>23</v>
      </c>
      <c r="J20" s="5" t="n">
        <v>17648</v>
      </c>
      <c r="K20" s="5" t="n">
        <v>3576</v>
      </c>
      <c r="L20" s="5" t="n">
        <v>2676</v>
      </c>
      <c r="M20" s="5" t="n">
        <v>0</v>
      </c>
      <c r="N20" s="5" t="n">
        <v>6898</v>
      </c>
      <c r="O20" s="5" t="n">
        <v>531</v>
      </c>
      <c r="P20" s="5" t="n">
        <v>1035</v>
      </c>
    </row>
    <row r="21" customFormat="false" ht="15" hidden="false" customHeight="false" outlineLevel="0" collapsed="false">
      <c r="A21" s="5" t="n">
        <v>20</v>
      </c>
      <c r="B21" s="5" t="n">
        <v>20251101</v>
      </c>
      <c r="C21" s="5" t="n">
        <v>2</v>
      </c>
      <c r="D21" s="5" t="n">
        <v>2</v>
      </c>
      <c r="E21" s="5" t="n">
        <v>9</v>
      </c>
      <c r="F21" s="5" t="n">
        <v>14</v>
      </c>
      <c r="G21" s="5" t="n">
        <v>1</v>
      </c>
      <c r="H21" s="5" t="n">
        <v>9</v>
      </c>
      <c r="I21" s="5" t="n">
        <v>14</v>
      </c>
      <c r="J21" s="5" t="n">
        <v>12748</v>
      </c>
      <c r="K21" s="5" t="n">
        <v>2086</v>
      </c>
      <c r="L21" s="5" t="n">
        <v>1731</v>
      </c>
      <c r="M21" s="5" t="n">
        <v>0</v>
      </c>
      <c r="N21" s="5" t="n">
        <v>5207</v>
      </c>
      <c r="O21" s="5" t="n">
        <v>371</v>
      </c>
      <c r="P21" s="5" t="n">
        <v>630</v>
      </c>
    </row>
    <row r="22" customFormat="false" ht="15" hidden="false" customHeight="false" outlineLevel="0" collapsed="false">
      <c r="A22" s="5" t="n">
        <v>21</v>
      </c>
      <c r="B22" s="5" t="n">
        <v>20251101</v>
      </c>
      <c r="C22" s="5" t="n">
        <v>3</v>
      </c>
      <c r="D22" s="5" t="n">
        <v>2</v>
      </c>
      <c r="E22" s="5" t="n">
        <v>5</v>
      </c>
      <c r="F22" s="5" t="n">
        <v>8</v>
      </c>
      <c r="G22" s="5" t="n">
        <v>1</v>
      </c>
      <c r="H22" s="5" t="n">
        <v>5</v>
      </c>
      <c r="I22" s="5" t="n">
        <v>8</v>
      </c>
      <c r="J22" s="5" t="n">
        <v>5387</v>
      </c>
      <c r="K22" s="5" t="n">
        <v>1192</v>
      </c>
      <c r="L22" s="5" t="n">
        <v>881</v>
      </c>
      <c r="M22" s="5" t="n">
        <v>0</v>
      </c>
      <c r="N22" s="5" t="n">
        <v>2089</v>
      </c>
      <c r="O22" s="5" t="n">
        <v>164</v>
      </c>
      <c r="P22" s="5" t="n">
        <v>360</v>
      </c>
    </row>
    <row r="23" customFormat="false" ht="15" hidden="false" customHeight="false" outlineLevel="0" collapsed="false">
      <c r="A23" s="5" t="n">
        <v>22</v>
      </c>
      <c r="B23" s="5" t="n">
        <v>20251101</v>
      </c>
      <c r="C23" s="5" t="n">
        <v>1</v>
      </c>
      <c r="D23" s="5" t="n">
        <v>3</v>
      </c>
      <c r="E23" s="5" t="n">
        <v>11</v>
      </c>
      <c r="F23" s="5" t="n">
        <v>18</v>
      </c>
      <c r="G23" s="5" t="n">
        <v>1</v>
      </c>
      <c r="H23" s="5" t="n">
        <v>11</v>
      </c>
      <c r="I23" s="5" t="n">
        <v>17</v>
      </c>
      <c r="J23" s="5" t="n">
        <v>12974</v>
      </c>
      <c r="K23" s="5" t="n">
        <v>2682</v>
      </c>
      <c r="L23" s="5" t="n">
        <v>2072</v>
      </c>
      <c r="M23" s="5" t="n">
        <v>0</v>
      </c>
      <c r="N23" s="5" t="n">
        <v>5017</v>
      </c>
      <c r="O23" s="5" t="n">
        <v>1566</v>
      </c>
      <c r="P23" s="5" t="n">
        <v>765</v>
      </c>
    </row>
    <row r="24" customFormat="false" ht="15" hidden="false" customHeight="false" outlineLevel="0" collapsed="false">
      <c r="A24" s="5" t="n">
        <v>23</v>
      </c>
      <c r="B24" s="5" t="n">
        <v>20251101</v>
      </c>
      <c r="C24" s="5" t="n">
        <v>2</v>
      </c>
      <c r="D24" s="5" t="n">
        <v>3</v>
      </c>
      <c r="E24" s="5" t="n">
        <v>7</v>
      </c>
      <c r="F24" s="5" t="n">
        <v>11</v>
      </c>
      <c r="G24" s="5" t="n">
        <v>1</v>
      </c>
      <c r="H24" s="5" t="n">
        <v>7</v>
      </c>
      <c r="I24" s="5" t="n">
        <v>11</v>
      </c>
      <c r="J24" s="5" t="n">
        <v>9846</v>
      </c>
      <c r="K24" s="5" t="n">
        <v>1639</v>
      </c>
      <c r="L24" s="5" t="n">
        <v>1267</v>
      </c>
      <c r="M24" s="5" t="n">
        <v>0</v>
      </c>
      <c r="N24" s="5" t="n">
        <v>3937</v>
      </c>
      <c r="O24" s="5" t="n">
        <v>1148</v>
      </c>
      <c r="P24" s="5" t="n">
        <v>495</v>
      </c>
    </row>
    <row r="25" customFormat="false" ht="15" hidden="false" customHeight="false" outlineLevel="0" collapsed="false">
      <c r="A25" s="5" t="n">
        <v>24</v>
      </c>
      <c r="B25" s="5" t="n">
        <v>20251101</v>
      </c>
      <c r="C25" s="5" t="n">
        <v>3</v>
      </c>
      <c r="D25" s="5" t="n">
        <v>3</v>
      </c>
      <c r="E25" s="5" t="n">
        <v>4</v>
      </c>
      <c r="F25" s="5" t="n">
        <v>7</v>
      </c>
      <c r="G25" s="5" t="n">
        <v>0</v>
      </c>
      <c r="H25" s="5" t="n">
        <v>4</v>
      </c>
      <c r="I25" s="5" t="n">
        <v>7</v>
      </c>
      <c r="J25" s="5" t="n">
        <v>4756</v>
      </c>
      <c r="K25" s="5" t="n">
        <v>1043</v>
      </c>
      <c r="L25" s="5" t="n">
        <v>849</v>
      </c>
      <c r="M25" s="5" t="n">
        <v>0</v>
      </c>
      <c r="N25" s="5" t="n">
        <v>1946</v>
      </c>
      <c r="O25" s="5" t="n">
        <v>580</v>
      </c>
      <c r="P25" s="5" t="n">
        <v>315</v>
      </c>
    </row>
    <row r="26" customFormat="false" ht="15" hidden="false" customHeight="false" outlineLevel="0" collapsed="false">
      <c r="A26" s="5" t="n">
        <v>25</v>
      </c>
      <c r="B26" s="5" t="n">
        <v>20251101</v>
      </c>
      <c r="C26" s="5" t="n">
        <v>1</v>
      </c>
      <c r="D26" s="5" t="n">
        <v>4</v>
      </c>
      <c r="E26" s="5" t="n">
        <v>9</v>
      </c>
      <c r="F26" s="5" t="n">
        <v>15</v>
      </c>
      <c r="G26" s="5" t="n">
        <v>1</v>
      </c>
      <c r="H26" s="5" t="n">
        <v>9</v>
      </c>
      <c r="I26" s="5" t="n">
        <v>15</v>
      </c>
      <c r="J26" s="5" t="n">
        <v>11268</v>
      </c>
      <c r="K26" s="5" t="n">
        <v>2235</v>
      </c>
      <c r="L26" s="5" t="n">
        <v>1659</v>
      </c>
      <c r="M26" s="5" t="n">
        <v>0</v>
      </c>
      <c r="N26" s="5" t="n">
        <v>4588</v>
      </c>
      <c r="O26" s="5" t="n">
        <v>810</v>
      </c>
      <c r="P26" s="5" t="n">
        <v>675</v>
      </c>
    </row>
    <row r="27" customFormat="false" ht="15" hidden="false" customHeight="false" outlineLevel="0" collapsed="false">
      <c r="A27" s="5" t="n">
        <v>26</v>
      </c>
      <c r="B27" s="5" t="n">
        <v>20251101</v>
      </c>
      <c r="C27" s="5" t="n">
        <v>2</v>
      </c>
      <c r="D27" s="5" t="n">
        <v>4</v>
      </c>
      <c r="E27" s="5" t="n">
        <v>5</v>
      </c>
      <c r="F27" s="5" t="n">
        <v>7</v>
      </c>
      <c r="G27" s="5" t="n">
        <v>1</v>
      </c>
      <c r="H27" s="5" t="n">
        <v>4</v>
      </c>
      <c r="I27" s="5" t="n">
        <v>7</v>
      </c>
      <c r="J27" s="5" t="n">
        <v>6612</v>
      </c>
      <c r="K27" s="5" t="n">
        <v>1043</v>
      </c>
      <c r="L27" s="5" t="n">
        <v>772</v>
      </c>
      <c r="M27" s="5" t="n">
        <v>0</v>
      </c>
      <c r="N27" s="5" t="n">
        <v>2567</v>
      </c>
      <c r="O27" s="5" t="n">
        <v>459</v>
      </c>
      <c r="P27" s="5" t="n">
        <v>315</v>
      </c>
    </row>
    <row r="28" customFormat="false" ht="15" hidden="false" customHeight="false" outlineLevel="0" collapsed="false">
      <c r="A28" s="5" t="n">
        <v>27</v>
      </c>
      <c r="B28" s="5" t="n">
        <v>20251101</v>
      </c>
      <c r="C28" s="5" t="n">
        <v>3</v>
      </c>
      <c r="D28" s="5" t="n">
        <v>4</v>
      </c>
      <c r="E28" s="5" t="n">
        <v>3</v>
      </c>
      <c r="F28" s="5" t="n">
        <v>5</v>
      </c>
      <c r="G28" s="5" t="n">
        <v>0</v>
      </c>
      <c r="H28" s="5" t="n">
        <v>2</v>
      </c>
      <c r="I28" s="5" t="n">
        <v>5</v>
      </c>
      <c r="J28" s="5" t="n">
        <v>3582</v>
      </c>
      <c r="K28" s="5" t="n">
        <v>745</v>
      </c>
      <c r="L28" s="5" t="n">
        <v>640</v>
      </c>
      <c r="M28" s="5" t="n">
        <v>0</v>
      </c>
      <c r="N28" s="5" t="n">
        <v>1399</v>
      </c>
      <c r="O28" s="5" t="n">
        <v>260</v>
      </c>
      <c r="P28" s="5" t="n">
        <v>225</v>
      </c>
    </row>
    <row r="29" customFormat="false" ht="15" hidden="false" customHeight="false" outlineLevel="0" collapsed="false">
      <c r="A29" s="5" t="n">
        <v>28</v>
      </c>
      <c r="B29" s="5" t="n">
        <v>20251101</v>
      </c>
      <c r="C29" s="5" t="n">
        <v>1</v>
      </c>
      <c r="D29" s="5" t="n">
        <v>5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</row>
    <row r="30" customFormat="false" ht="15" hidden="false" customHeight="false" outlineLevel="0" collapsed="false">
      <c r="A30" s="5" t="n">
        <v>29</v>
      </c>
      <c r="B30" s="5" t="n">
        <v>20251101</v>
      </c>
      <c r="C30" s="5" t="n">
        <v>2</v>
      </c>
      <c r="D30" s="5" t="n">
        <v>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</row>
    <row r="31" customFormat="false" ht="15" hidden="false" customHeight="false" outlineLevel="0" collapsed="false">
      <c r="A31" s="5" t="n">
        <v>30</v>
      </c>
      <c r="B31" s="5" t="n">
        <v>20251101</v>
      </c>
      <c r="C31" s="5" t="n">
        <v>3</v>
      </c>
      <c r="D31" s="5" t="n">
        <v>5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</row>
    <row r="32" customFormat="false" ht="15" hidden="false" customHeight="false" outlineLevel="0" collapsed="false">
      <c r="A32" s="5" t="n">
        <v>31</v>
      </c>
      <c r="B32" s="5" t="n">
        <v>20251201</v>
      </c>
      <c r="C32" s="5" t="n">
        <v>1</v>
      </c>
      <c r="D32" s="5" t="n">
        <v>1</v>
      </c>
      <c r="E32" s="5" t="n">
        <v>21</v>
      </c>
      <c r="F32" s="5" t="n">
        <v>45</v>
      </c>
      <c r="G32" s="5" t="n">
        <v>4</v>
      </c>
      <c r="H32" s="5" t="n">
        <v>29</v>
      </c>
      <c r="I32" s="5" t="n">
        <v>43</v>
      </c>
      <c r="J32" s="5" t="n">
        <v>34032</v>
      </c>
      <c r="K32" s="5" t="n">
        <v>6705</v>
      </c>
      <c r="L32" s="5" t="n">
        <v>5068</v>
      </c>
      <c r="M32" s="5" t="n">
        <v>0</v>
      </c>
      <c r="N32" s="5" t="n">
        <v>12960</v>
      </c>
      <c r="O32" s="5" t="n">
        <v>0</v>
      </c>
      <c r="P32" s="5" t="n">
        <v>1935</v>
      </c>
    </row>
    <row r="33" customFormat="false" ht="15" hidden="false" customHeight="false" outlineLevel="0" collapsed="false">
      <c r="A33" s="5" t="n">
        <v>32</v>
      </c>
      <c r="B33" s="5" t="n">
        <v>20251201</v>
      </c>
      <c r="C33" s="5" t="n">
        <v>2</v>
      </c>
      <c r="D33" s="5" t="n">
        <v>1</v>
      </c>
      <c r="E33" s="5" t="n">
        <v>13</v>
      </c>
      <c r="F33" s="5" t="n">
        <v>27</v>
      </c>
      <c r="G33" s="5" t="n">
        <v>2</v>
      </c>
      <c r="H33" s="5" t="n">
        <v>18</v>
      </c>
      <c r="I33" s="5" t="n">
        <v>26</v>
      </c>
      <c r="J33" s="5" t="n">
        <v>23411</v>
      </c>
      <c r="K33" s="5" t="n">
        <v>4023</v>
      </c>
      <c r="L33" s="5" t="n">
        <v>3444</v>
      </c>
      <c r="M33" s="5" t="n">
        <v>0</v>
      </c>
      <c r="N33" s="5" t="n">
        <v>9521</v>
      </c>
      <c r="O33" s="5" t="n">
        <v>0</v>
      </c>
      <c r="P33" s="5" t="n">
        <v>1170</v>
      </c>
    </row>
    <row r="34" customFormat="false" ht="15" hidden="false" customHeight="false" outlineLevel="0" collapsed="false">
      <c r="A34" s="5" t="n">
        <v>33</v>
      </c>
      <c r="B34" s="5" t="n">
        <v>20251201</v>
      </c>
      <c r="C34" s="5" t="n">
        <v>3</v>
      </c>
      <c r="D34" s="5" t="n">
        <v>1</v>
      </c>
      <c r="E34" s="5" t="n">
        <v>9</v>
      </c>
      <c r="F34" s="5" t="n">
        <v>17</v>
      </c>
      <c r="G34" s="5" t="n">
        <v>1</v>
      </c>
      <c r="H34" s="5" t="n">
        <v>11</v>
      </c>
      <c r="I34" s="5" t="n">
        <v>17</v>
      </c>
      <c r="J34" s="5" t="n">
        <v>11572</v>
      </c>
      <c r="K34" s="5" t="n">
        <v>2533</v>
      </c>
      <c r="L34" s="5" t="n">
        <v>1986</v>
      </c>
      <c r="M34" s="5" t="n">
        <v>0</v>
      </c>
      <c r="N34" s="5" t="n">
        <v>4767</v>
      </c>
      <c r="O34" s="5" t="n">
        <v>0</v>
      </c>
      <c r="P34" s="5" t="n">
        <v>765</v>
      </c>
    </row>
    <row r="35" customFormat="false" ht="15" hidden="false" customHeight="false" outlineLevel="0" collapsed="false">
      <c r="A35" s="5" t="n">
        <v>34</v>
      </c>
      <c r="B35" s="5" t="n">
        <v>20251201</v>
      </c>
      <c r="C35" s="5" t="n">
        <v>1</v>
      </c>
      <c r="D35" s="5" t="n">
        <v>2</v>
      </c>
      <c r="E35" s="5" t="n">
        <v>19</v>
      </c>
      <c r="F35" s="5" t="n">
        <v>39</v>
      </c>
      <c r="G35" s="5" t="n">
        <v>4</v>
      </c>
      <c r="H35" s="5" t="n">
        <v>24</v>
      </c>
      <c r="I35" s="5" t="n">
        <v>38</v>
      </c>
      <c r="J35" s="5" t="n">
        <v>28610</v>
      </c>
      <c r="K35" s="5" t="n">
        <v>5811</v>
      </c>
      <c r="L35" s="5" t="n">
        <v>4909</v>
      </c>
      <c r="M35" s="5" t="n">
        <v>0</v>
      </c>
      <c r="N35" s="5" t="n">
        <v>11784</v>
      </c>
      <c r="O35" s="5" t="n">
        <v>861</v>
      </c>
      <c r="P35" s="5" t="n">
        <v>1710</v>
      </c>
    </row>
    <row r="36" customFormat="false" ht="15" hidden="false" customHeight="false" outlineLevel="0" collapsed="false">
      <c r="A36" s="5" t="n">
        <v>35</v>
      </c>
      <c r="B36" s="5" t="n">
        <v>20251201</v>
      </c>
      <c r="C36" s="5" t="n">
        <v>2</v>
      </c>
      <c r="D36" s="5" t="n">
        <v>2</v>
      </c>
      <c r="E36" s="5" t="n">
        <v>13</v>
      </c>
      <c r="F36" s="5" t="n">
        <v>25</v>
      </c>
      <c r="G36" s="5" t="n">
        <v>2</v>
      </c>
      <c r="H36" s="5" t="n">
        <v>15</v>
      </c>
      <c r="I36" s="5" t="n">
        <v>24</v>
      </c>
      <c r="J36" s="5" t="n">
        <v>21536</v>
      </c>
      <c r="K36" s="5" t="n">
        <v>3725</v>
      </c>
      <c r="L36" s="5" t="n">
        <v>3050</v>
      </c>
      <c r="M36" s="5" t="n">
        <v>0</v>
      </c>
      <c r="N36" s="5" t="n">
        <v>8744</v>
      </c>
      <c r="O36" s="5" t="n">
        <v>632</v>
      </c>
      <c r="P36" s="5" t="n">
        <v>1080</v>
      </c>
    </row>
    <row r="37" customFormat="false" ht="15" hidden="false" customHeight="false" outlineLevel="0" collapsed="false">
      <c r="A37" s="5" t="n">
        <v>36</v>
      </c>
      <c r="B37" s="5" t="n">
        <v>20251201</v>
      </c>
      <c r="C37" s="5" t="n">
        <v>3</v>
      </c>
      <c r="D37" s="5" t="n">
        <v>2</v>
      </c>
      <c r="E37" s="5" t="n">
        <v>7</v>
      </c>
      <c r="F37" s="5" t="n">
        <v>14</v>
      </c>
      <c r="G37" s="5" t="n">
        <v>1</v>
      </c>
      <c r="H37" s="5" t="n">
        <v>9</v>
      </c>
      <c r="I37" s="5" t="n">
        <v>13</v>
      </c>
      <c r="J37" s="5" t="n">
        <v>9029</v>
      </c>
      <c r="K37" s="5" t="n">
        <v>2086</v>
      </c>
      <c r="L37" s="5" t="n">
        <v>1841</v>
      </c>
      <c r="M37" s="5" t="n">
        <v>0</v>
      </c>
      <c r="N37" s="5" t="n">
        <v>3517</v>
      </c>
      <c r="O37" s="5" t="n">
        <v>278</v>
      </c>
      <c r="P37" s="5" t="n">
        <v>585</v>
      </c>
    </row>
    <row r="38" customFormat="false" ht="15" hidden="false" customHeight="false" outlineLevel="0" collapsed="false">
      <c r="A38" s="5" t="n">
        <v>37</v>
      </c>
      <c r="B38" s="5" t="n">
        <v>20251201</v>
      </c>
      <c r="C38" s="5" t="n">
        <v>1</v>
      </c>
      <c r="D38" s="5" t="n">
        <v>3</v>
      </c>
      <c r="E38" s="5" t="n">
        <v>16</v>
      </c>
      <c r="F38" s="5" t="n">
        <v>31</v>
      </c>
      <c r="G38" s="5" t="n">
        <v>3</v>
      </c>
      <c r="H38" s="5" t="n">
        <v>18</v>
      </c>
      <c r="I38" s="5" t="n">
        <v>30</v>
      </c>
      <c r="J38" s="5" t="n">
        <v>23977</v>
      </c>
      <c r="K38" s="5" t="n">
        <v>4619</v>
      </c>
      <c r="L38" s="5" t="n">
        <v>3440</v>
      </c>
      <c r="M38" s="5" t="n">
        <v>0</v>
      </c>
      <c r="N38" s="5" t="n">
        <v>9263</v>
      </c>
      <c r="O38" s="5" t="n">
        <v>2860</v>
      </c>
      <c r="P38" s="5" t="n">
        <v>1350</v>
      </c>
    </row>
    <row r="39" customFormat="false" ht="15" hidden="false" customHeight="false" outlineLevel="0" collapsed="false">
      <c r="A39" s="5" t="n">
        <v>38</v>
      </c>
      <c r="B39" s="5" t="n">
        <v>20251201</v>
      </c>
      <c r="C39" s="5" t="n">
        <v>2</v>
      </c>
      <c r="D39" s="5" t="n">
        <v>3</v>
      </c>
      <c r="E39" s="5" t="n">
        <v>9</v>
      </c>
      <c r="F39" s="5" t="n">
        <v>18</v>
      </c>
      <c r="G39" s="5" t="n">
        <v>2</v>
      </c>
      <c r="H39" s="5" t="n">
        <v>10</v>
      </c>
      <c r="I39" s="5" t="n">
        <v>18</v>
      </c>
      <c r="J39" s="5" t="n">
        <v>16649</v>
      </c>
      <c r="K39" s="5" t="n">
        <v>2682</v>
      </c>
      <c r="L39" s="5" t="n">
        <v>2089</v>
      </c>
      <c r="M39" s="5" t="n">
        <v>0</v>
      </c>
      <c r="N39" s="5" t="n">
        <v>6865</v>
      </c>
      <c r="O39" s="5" t="n">
        <v>1933</v>
      </c>
      <c r="P39" s="5" t="n">
        <v>810</v>
      </c>
    </row>
    <row r="40" customFormat="false" ht="15" hidden="false" customHeight="false" outlineLevel="0" collapsed="false">
      <c r="A40" s="5" t="n">
        <v>39</v>
      </c>
      <c r="B40" s="5" t="n">
        <v>20251201</v>
      </c>
      <c r="C40" s="5" t="n">
        <v>3</v>
      </c>
      <c r="D40" s="5" t="n">
        <v>3</v>
      </c>
      <c r="E40" s="5" t="n">
        <v>6</v>
      </c>
      <c r="F40" s="5" t="n">
        <v>12</v>
      </c>
      <c r="G40" s="5" t="n">
        <v>1</v>
      </c>
      <c r="H40" s="5" t="n">
        <v>8</v>
      </c>
      <c r="I40" s="5" t="n">
        <v>12</v>
      </c>
      <c r="J40" s="5" t="n">
        <v>8630</v>
      </c>
      <c r="K40" s="5" t="n">
        <v>1788</v>
      </c>
      <c r="L40" s="5" t="n">
        <v>1469</v>
      </c>
      <c r="M40" s="5" t="n">
        <v>0</v>
      </c>
      <c r="N40" s="5" t="n">
        <v>3432</v>
      </c>
      <c r="O40" s="5" t="n">
        <v>1042</v>
      </c>
      <c r="P40" s="5" t="n">
        <v>540</v>
      </c>
    </row>
    <row r="41" customFormat="false" ht="15" hidden="false" customHeight="false" outlineLevel="0" collapsed="false">
      <c r="A41" s="5" t="n">
        <v>40</v>
      </c>
      <c r="B41" s="5" t="n">
        <v>20251201</v>
      </c>
      <c r="C41" s="5" t="n">
        <v>1</v>
      </c>
      <c r="D41" s="5" t="n">
        <v>4</v>
      </c>
      <c r="E41" s="5" t="n">
        <v>12</v>
      </c>
      <c r="F41" s="5" t="n">
        <v>25</v>
      </c>
      <c r="G41" s="5" t="n">
        <v>2</v>
      </c>
      <c r="H41" s="5" t="n">
        <v>15</v>
      </c>
      <c r="I41" s="5" t="n">
        <v>24</v>
      </c>
      <c r="J41" s="5" t="n">
        <v>18266</v>
      </c>
      <c r="K41" s="5" t="n">
        <v>3725</v>
      </c>
      <c r="L41" s="5" t="n">
        <v>2935</v>
      </c>
      <c r="M41" s="5" t="n">
        <v>0</v>
      </c>
      <c r="N41" s="5" t="n">
        <v>7291</v>
      </c>
      <c r="O41" s="5" t="n">
        <v>1319</v>
      </c>
      <c r="P41" s="5" t="n">
        <v>1080</v>
      </c>
    </row>
    <row r="42" customFormat="false" ht="15" hidden="false" customHeight="false" outlineLevel="0" collapsed="false">
      <c r="A42" s="5" t="n">
        <v>41</v>
      </c>
      <c r="B42" s="5" t="n">
        <v>20251201</v>
      </c>
      <c r="C42" s="5" t="n">
        <v>2</v>
      </c>
      <c r="D42" s="5" t="n">
        <v>4</v>
      </c>
      <c r="E42" s="5" t="n">
        <v>7</v>
      </c>
      <c r="F42" s="5" t="n">
        <v>13</v>
      </c>
      <c r="G42" s="5" t="n">
        <v>1</v>
      </c>
      <c r="H42" s="5" t="n">
        <v>8</v>
      </c>
      <c r="I42" s="5" t="n">
        <v>13</v>
      </c>
      <c r="J42" s="5" t="n">
        <v>12277</v>
      </c>
      <c r="K42" s="5" t="n">
        <v>1937</v>
      </c>
      <c r="L42" s="5" t="n">
        <v>1532</v>
      </c>
      <c r="M42" s="5" t="n">
        <v>0</v>
      </c>
      <c r="N42" s="5" t="n">
        <v>4963</v>
      </c>
      <c r="O42" s="5" t="n">
        <v>853</v>
      </c>
      <c r="P42" s="5" t="n">
        <v>585</v>
      </c>
    </row>
    <row r="43" customFormat="false" ht="15" hidden="false" customHeight="false" outlineLevel="0" collapsed="false">
      <c r="A43" s="5" t="n">
        <v>42</v>
      </c>
      <c r="B43" s="5" t="n">
        <v>20251201</v>
      </c>
      <c r="C43" s="5" t="n">
        <v>3</v>
      </c>
      <c r="D43" s="5" t="n">
        <v>4</v>
      </c>
      <c r="E43" s="5" t="n">
        <v>4</v>
      </c>
      <c r="F43" s="5" t="n">
        <v>8</v>
      </c>
      <c r="G43" s="5" t="n">
        <v>1</v>
      </c>
      <c r="H43" s="5" t="n">
        <v>5</v>
      </c>
      <c r="I43" s="5" t="n">
        <v>8</v>
      </c>
      <c r="J43" s="5" t="n">
        <v>5462</v>
      </c>
      <c r="K43" s="5" t="n">
        <v>1192</v>
      </c>
      <c r="L43" s="5" t="n">
        <v>889</v>
      </c>
      <c r="M43" s="5" t="n">
        <v>0</v>
      </c>
      <c r="N43" s="5" t="n">
        <v>2099</v>
      </c>
      <c r="O43" s="5" t="n">
        <v>399</v>
      </c>
      <c r="P43" s="5" t="n">
        <v>360</v>
      </c>
    </row>
    <row r="44" customFormat="false" ht="15" hidden="false" customHeight="false" outlineLevel="0" collapsed="false">
      <c r="A44" s="5" t="n">
        <v>43</v>
      </c>
      <c r="B44" s="5" t="n">
        <v>20251201</v>
      </c>
      <c r="C44" s="5" t="n">
        <v>1</v>
      </c>
      <c r="D44" s="5" t="n">
        <v>5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</row>
    <row r="45" customFormat="false" ht="15" hidden="false" customHeight="false" outlineLevel="0" collapsed="false">
      <c r="A45" s="5" t="n">
        <v>44</v>
      </c>
      <c r="B45" s="5" t="n">
        <v>20251201</v>
      </c>
      <c r="C45" s="5" t="n">
        <v>2</v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</row>
    <row r="46" customFormat="false" ht="15" hidden="false" customHeight="false" outlineLevel="0" collapsed="false">
      <c r="A46" s="5" t="n">
        <v>45</v>
      </c>
      <c r="B46" s="5" t="n">
        <v>20251201</v>
      </c>
      <c r="C46" s="5" t="n">
        <v>3</v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</row>
    <row r="47" customFormat="false" ht="15" hidden="false" customHeight="false" outlineLevel="0" collapsed="false">
      <c r="A47" s="5" t="n">
        <v>46</v>
      </c>
      <c r="B47" s="5" t="n">
        <v>20260101</v>
      </c>
      <c r="C47" s="5" t="n">
        <v>1</v>
      </c>
      <c r="D47" s="5" t="n">
        <v>1</v>
      </c>
      <c r="E47" s="5" t="n">
        <v>30</v>
      </c>
      <c r="F47" s="5" t="n">
        <v>69</v>
      </c>
      <c r="G47" s="5" t="n">
        <v>6</v>
      </c>
      <c r="H47" s="5" t="n">
        <v>42</v>
      </c>
      <c r="I47" s="5" t="n">
        <v>66</v>
      </c>
      <c r="J47" s="5" t="n">
        <v>49741</v>
      </c>
      <c r="K47" s="5" t="n">
        <v>10281</v>
      </c>
      <c r="L47" s="5" t="n">
        <v>8098</v>
      </c>
      <c r="M47" s="5" t="n">
        <v>0</v>
      </c>
      <c r="N47" s="5" t="n">
        <v>19115</v>
      </c>
      <c r="O47" s="5" t="n">
        <v>0</v>
      </c>
      <c r="P47" s="5" t="n">
        <v>2970</v>
      </c>
    </row>
    <row r="48" customFormat="false" ht="15" hidden="false" customHeight="false" outlineLevel="0" collapsed="false">
      <c r="A48" s="5" t="n">
        <v>47</v>
      </c>
      <c r="B48" s="5" t="n">
        <v>20260101</v>
      </c>
      <c r="C48" s="5" t="n">
        <v>2</v>
      </c>
      <c r="D48" s="5" t="n">
        <v>1</v>
      </c>
      <c r="E48" s="5" t="n">
        <v>16</v>
      </c>
      <c r="F48" s="5" t="n">
        <v>39</v>
      </c>
      <c r="G48" s="5" t="n">
        <v>4</v>
      </c>
      <c r="H48" s="5" t="n">
        <v>25</v>
      </c>
      <c r="I48" s="5" t="n">
        <v>37</v>
      </c>
      <c r="J48" s="5" t="n">
        <v>33144</v>
      </c>
      <c r="K48" s="5" t="n">
        <v>5811</v>
      </c>
      <c r="L48" s="5" t="n">
        <v>4379</v>
      </c>
      <c r="M48" s="5" t="n">
        <v>0</v>
      </c>
      <c r="N48" s="5" t="n">
        <v>13789</v>
      </c>
      <c r="O48" s="5" t="n">
        <v>0</v>
      </c>
      <c r="P48" s="5" t="n">
        <v>1665</v>
      </c>
    </row>
    <row r="49" customFormat="false" ht="15" hidden="false" customHeight="false" outlineLevel="0" collapsed="false">
      <c r="A49" s="5" t="n">
        <v>48</v>
      </c>
      <c r="B49" s="5" t="n">
        <v>20260101</v>
      </c>
      <c r="C49" s="5" t="n">
        <v>3</v>
      </c>
      <c r="D49" s="5" t="n">
        <v>1</v>
      </c>
      <c r="E49" s="5" t="n">
        <v>11</v>
      </c>
      <c r="F49" s="5" t="n">
        <v>26</v>
      </c>
      <c r="G49" s="5" t="n">
        <v>2</v>
      </c>
      <c r="H49" s="5" t="n">
        <v>18</v>
      </c>
      <c r="I49" s="5" t="n">
        <v>25</v>
      </c>
      <c r="J49" s="5" t="n">
        <v>17441</v>
      </c>
      <c r="K49" s="5" t="n">
        <v>3874</v>
      </c>
      <c r="L49" s="5" t="n">
        <v>3211</v>
      </c>
      <c r="M49" s="5" t="n">
        <v>0</v>
      </c>
      <c r="N49" s="5" t="n">
        <v>7045</v>
      </c>
      <c r="O49" s="5" t="n">
        <v>0</v>
      </c>
      <c r="P49" s="5" t="n">
        <v>1125</v>
      </c>
    </row>
    <row r="50" customFormat="false" ht="15" hidden="false" customHeight="false" outlineLevel="0" collapsed="false">
      <c r="A50" s="5" t="n">
        <v>49</v>
      </c>
      <c r="B50" s="5" t="n">
        <v>20260101</v>
      </c>
      <c r="C50" s="5" t="n">
        <v>1</v>
      </c>
      <c r="D50" s="5" t="n">
        <v>2</v>
      </c>
      <c r="E50" s="5" t="n">
        <v>25</v>
      </c>
      <c r="F50" s="5" t="n">
        <v>59</v>
      </c>
      <c r="G50" s="5" t="n">
        <v>5</v>
      </c>
      <c r="H50" s="5" t="n">
        <v>40</v>
      </c>
      <c r="I50" s="5" t="n">
        <v>57</v>
      </c>
      <c r="J50" s="5" t="n">
        <v>42783</v>
      </c>
      <c r="K50" s="5" t="n">
        <v>8791</v>
      </c>
      <c r="L50" s="5" t="n">
        <v>6744</v>
      </c>
      <c r="M50" s="5" t="n">
        <v>0</v>
      </c>
      <c r="N50" s="5" t="n">
        <v>17708</v>
      </c>
      <c r="O50" s="5" t="n">
        <v>1289</v>
      </c>
      <c r="P50" s="5" t="n">
        <v>2565</v>
      </c>
    </row>
    <row r="51" customFormat="false" ht="15" hidden="false" customHeight="false" outlineLevel="0" collapsed="false">
      <c r="A51" s="5" t="n">
        <v>50</v>
      </c>
      <c r="B51" s="5" t="n">
        <v>20260101</v>
      </c>
      <c r="C51" s="5" t="n">
        <v>2</v>
      </c>
      <c r="D51" s="5" t="n">
        <v>2</v>
      </c>
      <c r="E51" s="5" t="n">
        <v>15</v>
      </c>
      <c r="F51" s="5" t="n">
        <v>37</v>
      </c>
      <c r="G51" s="5" t="n">
        <v>3</v>
      </c>
      <c r="H51" s="5" t="n">
        <v>25</v>
      </c>
      <c r="I51" s="5" t="n">
        <v>36</v>
      </c>
      <c r="J51" s="5" t="n">
        <v>33668</v>
      </c>
      <c r="K51" s="5" t="n">
        <v>5513</v>
      </c>
      <c r="L51" s="5" t="n">
        <v>4707</v>
      </c>
      <c r="M51" s="5" t="n">
        <v>0</v>
      </c>
      <c r="N51" s="5" t="n">
        <v>13946</v>
      </c>
      <c r="O51" s="5" t="n">
        <v>980</v>
      </c>
      <c r="P51" s="5" t="n">
        <v>1620</v>
      </c>
    </row>
    <row r="52" customFormat="false" ht="15" hidden="false" customHeight="false" outlineLevel="0" collapsed="false">
      <c r="A52" s="5" t="n">
        <v>51</v>
      </c>
      <c r="B52" s="5" t="n">
        <v>20260101</v>
      </c>
      <c r="C52" s="5" t="n">
        <v>3</v>
      </c>
      <c r="D52" s="5" t="n">
        <v>2</v>
      </c>
      <c r="E52" s="5" t="n">
        <v>9</v>
      </c>
      <c r="F52" s="5" t="n">
        <v>21</v>
      </c>
      <c r="G52" s="5" t="n">
        <v>2</v>
      </c>
      <c r="H52" s="5" t="n">
        <v>14</v>
      </c>
      <c r="I52" s="5" t="n">
        <v>20</v>
      </c>
      <c r="J52" s="5" t="n">
        <v>14093</v>
      </c>
      <c r="K52" s="5" t="n">
        <v>3129</v>
      </c>
      <c r="L52" s="5" t="n">
        <v>2671</v>
      </c>
      <c r="M52" s="5" t="n">
        <v>0</v>
      </c>
      <c r="N52" s="5" t="n">
        <v>5755</v>
      </c>
      <c r="O52" s="5" t="n">
        <v>431</v>
      </c>
      <c r="P52" s="5" t="n">
        <v>900</v>
      </c>
    </row>
    <row r="53" customFormat="false" ht="15" hidden="false" customHeight="false" outlineLevel="0" collapsed="false">
      <c r="A53" s="5" t="n">
        <v>52</v>
      </c>
      <c r="B53" s="5" t="n">
        <v>20260101</v>
      </c>
      <c r="C53" s="5" t="n">
        <v>1</v>
      </c>
      <c r="D53" s="5" t="n">
        <v>3</v>
      </c>
      <c r="E53" s="5" t="n">
        <v>19</v>
      </c>
      <c r="F53" s="5" t="n">
        <v>46</v>
      </c>
      <c r="G53" s="5" t="n">
        <v>4</v>
      </c>
      <c r="H53" s="5" t="n">
        <v>27</v>
      </c>
      <c r="I53" s="5" t="n">
        <v>45</v>
      </c>
      <c r="J53" s="5" t="n">
        <v>35490</v>
      </c>
      <c r="K53" s="5" t="n">
        <v>6854</v>
      </c>
      <c r="L53" s="5" t="n">
        <v>5448</v>
      </c>
      <c r="M53" s="5" t="n">
        <v>0</v>
      </c>
      <c r="N53" s="5" t="n">
        <v>14081</v>
      </c>
      <c r="O53" s="5" t="n">
        <v>4234</v>
      </c>
      <c r="P53" s="5" t="n">
        <v>2025</v>
      </c>
    </row>
    <row r="54" customFormat="false" ht="15" hidden="false" customHeight="false" outlineLevel="0" collapsed="false">
      <c r="A54" s="5" t="n">
        <v>53</v>
      </c>
      <c r="B54" s="5" t="n">
        <v>20260101</v>
      </c>
      <c r="C54" s="5" t="n">
        <v>2</v>
      </c>
      <c r="D54" s="5" t="n">
        <v>3</v>
      </c>
      <c r="E54" s="5" t="n">
        <v>12</v>
      </c>
      <c r="F54" s="5" t="n">
        <v>28</v>
      </c>
      <c r="G54" s="5" t="n">
        <v>2</v>
      </c>
      <c r="H54" s="5" t="n">
        <v>18</v>
      </c>
      <c r="I54" s="5" t="n">
        <v>28</v>
      </c>
      <c r="J54" s="5" t="n">
        <v>24837</v>
      </c>
      <c r="K54" s="5" t="n">
        <v>4172</v>
      </c>
      <c r="L54" s="5" t="n">
        <v>3692</v>
      </c>
      <c r="M54" s="5" t="n">
        <v>0</v>
      </c>
      <c r="N54" s="5" t="n">
        <v>9897</v>
      </c>
      <c r="O54" s="5" t="n">
        <v>2901</v>
      </c>
      <c r="P54" s="5" t="n">
        <v>1260</v>
      </c>
    </row>
    <row r="55" customFormat="false" ht="15" hidden="false" customHeight="false" outlineLevel="0" collapsed="false">
      <c r="A55" s="5" t="n">
        <v>54</v>
      </c>
      <c r="B55" s="5" t="n">
        <v>20260101</v>
      </c>
      <c r="C55" s="5" t="n">
        <v>3</v>
      </c>
      <c r="D55" s="5" t="n">
        <v>3</v>
      </c>
      <c r="E55" s="5" t="n">
        <v>7</v>
      </c>
      <c r="F55" s="5" t="n">
        <v>17</v>
      </c>
      <c r="G55" s="5" t="n">
        <v>2</v>
      </c>
      <c r="H55" s="5" t="n">
        <v>11</v>
      </c>
      <c r="I55" s="5" t="n">
        <v>17</v>
      </c>
      <c r="J55" s="5" t="n">
        <v>11906</v>
      </c>
      <c r="K55" s="5" t="n">
        <v>2533</v>
      </c>
      <c r="L55" s="5" t="n">
        <v>2222</v>
      </c>
      <c r="M55" s="5" t="n">
        <v>0</v>
      </c>
      <c r="N55" s="5" t="n">
        <v>4660</v>
      </c>
      <c r="O55" s="5" t="n">
        <v>1444</v>
      </c>
      <c r="P55" s="5" t="n">
        <v>765</v>
      </c>
    </row>
    <row r="56" customFormat="false" ht="15" hidden="false" customHeight="false" outlineLevel="0" collapsed="false">
      <c r="A56" s="5" t="n">
        <v>55</v>
      </c>
      <c r="B56" s="5" t="n">
        <v>20260101</v>
      </c>
      <c r="C56" s="5" t="n">
        <v>1</v>
      </c>
      <c r="D56" s="5" t="n">
        <v>4</v>
      </c>
      <c r="E56" s="5" t="n">
        <v>15</v>
      </c>
      <c r="F56" s="5" t="n">
        <v>36</v>
      </c>
      <c r="G56" s="5" t="n">
        <v>4</v>
      </c>
      <c r="H56" s="5" t="n">
        <v>23</v>
      </c>
      <c r="I56" s="5" t="n">
        <v>35</v>
      </c>
      <c r="J56" s="5" t="n">
        <v>28345</v>
      </c>
      <c r="K56" s="5" t="n">
        <v>5364</v>
      </c>
      <c r="L56" s="5" t="n">
        <v>3963</v>
      </c>
      <c r="M56" s="5" t="n">
        <v>0</v>
      </c>
      <c r="N56" s="5" t="n">
        <v>10850</v>
      </c>
      <c r="O56" s="5" t="n">
        <v>2023</v>
      </c>
      <c r="P56" s="5" t="n">
        <v>1575</v>
      </c>
    </row>
    <row r="57" customFormat="false" ht="15" hidden="false" customHeight="false" outlineLevel="0" collapsed="false">
      <c r="A57" s="5" t="n">
        <v>56</v>
      </c>
      <c r="B57" s="5" t="n">
        <v>20260101</v>
      </c>
      <c r="C57" s="5" t="n">
        <v>2</v>
      </c>
      <c r="D57" s="5" t="n">
        <v>4</v>
      </c>
      <c r="E57" s="5" t="n">
        <v>8</v>
      </c>
      <c r="F57" s="5" t="n">
        <v>19</v>
      </c>
      <c r="G57" s="5" t="n">
        <v>2</v>
      </c>
      <c r="H57" s="5" t="n">
        <v>12</v>
      </c>
      <c r="I57" s="5" t="n">
        <v>19</v>
      </c>
      <c r="J57" s="5" t="n">
        <v>17281</v>
      </c>
      <c r="K57" s="5" t="n">
        <v>2831</v>
      </c>
      <c r="L57" s="5" t="n">
        <v>2247</v>
      </c>
      <c r="M57" s="5" t="n">
        <v>0</v>
      </c>
      <c r="N57" s="5" t="n">
        <v>6859</v>
      </c>
      <c r="O57" s="5" t="n">
        <v>1207</v>
      </c>
      <c r="P57" s="5" t="n">
        <v>855</v>
      </c>
    </row>
    <row r="58" customFormat="false" ht="15" hidden="false" customHeight="false" outlineLevel="0" collapsed="false">
      <c r="A58" s="5" t="n">
        <v>57</v>
      </c>
      <c r="B58" s="5" t="n">
        <v>20260101</v>
      </c>
      <c r="C58" s="5" t="n">
        <v>3</v>
      </c>
      <c r="D58" s="5" t="n">
        <v>4</v>
      </c>
      <c r="E58" s="5" t="n">
        <v>5</v>
      </c>
      <c r="F58" s="5" t="n">
        <v>12</v>
      </c>
      <c r="G58" s="5" t="n">
        <v>1</v>
      </c>
      <c r="H58" s="5" t="n">
        <v>8</v>
      </c>
      <c r="I58" s="5" t="n">
        <v>11</v>
      </c>
      <c r="J58" s="5" t="n">
        <v>7573</v>
      </c>
      <c r="K58" s="5" t="n">
        <v>1788</v>
      </c>
      <c r="L58" s="5" t="n">
        <v>1447</v>
      </c>
      <c r="M58" s="5" t="n">
        <v>0</v>
      </c>
      <c r="N58" s="5" t="n">
        <v>3134</v>
      </c>
      <c r="O58" s="5" t="n">
        <v>562</v>
      </c>
      <c r="P58" s="5" t="n">
        <v>495</v>
      </c>
    </row>
    <row r="59" customFormat="false" ht="15" hidden="false" customHeight="false" outlineLevel="0" collapsed="false">
      <c r="A59" s="5" t="n">
        <v>58</v>
      </c>
      <c r="B59" s="5" t="n">
        <v>20260101</v>
      </c>
      <c r="C59" s="5" t="n">
        <v>1</v>
      </c>
      <c r="D59" s="5" t="n">
        <v>5</v>
      </c>
      <c r="E59" s="5" t="n">
        <v>8</v>
      </c>
      <c r="F59" s="5" t="n">
        <v>8</v>
      </c>
      <c r="G59" s="5" t="n">
        <v>0</v>
      </c>
      <c r="H59" s="5" t="n">
        <v>5</v>
      </c>
      <c r="I59" s="5" t="n">
        <v>8</v>
      </c>
      <c r="J59" s="5" t="n">
        <v>6124</v>
      </c>
      <c r="K59" s="5" t="n">
        <v>1192</v>
      </c>
      <c r="L59" s="5" t="n">
        <v>969</v>
      </c>
      <c r="M59" s="5" t="n">
        <v>2800</v>
      </c>
      <c r="N59" s="5" t="n">
        <v>2485</v>
      </c>
      <c r="O59" s="5" t="n">
        <v>0</v>
      </c>
      <c r="P59" s="5" t="n">
        <v>160</v>
      </c>
    </row>
    <row r="60" customFormat="false" ht="15" hidden="false" customHeight="false" outlineLevel="0" collapsed="false">
      <c r="A60" s="5" t="n">
        <v>59</v>
      </c>
      <c r="B60" s="5" t="n">
        <v>20260101</v>
      </c>
      <c r="C60" s="5" t="n">
        <v>2</v>
      </c>
      <c r="D60" s="5" t="n">
        <v>5</v>
      </c>
      <c r="E60" s="5" t="n">
        <v>5</v>
      </c>
      <c r="F60" s="5" t="n">
        <v>5</v>
      </c>
      <c r="G60" s="5" t="n">
        <v>0</v>
      </c>
      <c r="H60" s="5" t="n">
        <v>3</v>
      </c>
      <c r="I60" s="5" t="n">
        <v>5</v>
      </c>
      <c r="J60" s="5" t="n">
        <v>4568</v>
      </c>
      <c r="K60" s="5" t="n">
        <v>745</v>
      </c>
      <c r="L60" s="5" t="n">
        <v>620</v>
      </c>
      <c r="M60" s="5" t="n">
        <v>1750</v>
      </c>
      <c r="N60" s="5" t="n">
        <v>1826</v>
      </c>
      <c r="O60" s="5" t="n">
        <v>0</v>
      </c>
      <c r="P60" s="5" t="n">
        <v>100</v>
      </c>
    </row>
    <row r="61" customFormat="false" ht="15" hidden="false" customHeight="false" outlineLevel="0" collapsed="false">
      <c r="A61" s="5" t="n">
        <v>60</v>
      </c>
      <c r="B61" s="5" t="n">
        <v>20260101</v>
      </c>
      <c r="C61" s="5" t="n">
        <v>3</v>
      </c>
      <c r="D61" s="5" t="n">
        <v>5</v>
      </c>
      <c r="E61" s="5" t="n">
        <v>3</v>
      </c>
      <c r="F61" s="5" t="n">
        <v>3</v>
      </c>
      <c r="G61" s="5" t="n">
        <v>0</v>
      </c>
      <c r="H61" s="5" t="n">
        <v>2</v>
      </c>
      <c r="I61" s="5" t="n">
        <v>3</v>
      </c>
      <c r="J61" s="5" t="n">
        <v>2091</v>
      </c>
      <c r="K61" s="5" t="n">
        <v>447</v>
      </c>
      <c r="L61" s="5" t="n">
        <v>341</v>
      </c>
      <c r="M61" s="5" t="n">
        <v>1050</v>
      </c>
      <c r="N61" s="5" t="n">
        <v>851</v>
      </c>
      <c r="O61" s="5" t="n">
        <v>0</v>
      </c>
      <c r="P61" s="5" t="n">
        <v>60</v>
      </c>
    </row>
    <row r="62" customFormat="false" ht="15" hidden="false" customHeight="false" outlineLevel="0" collapsed="false">
      <c r="A62" s="5" t="n">
        <v>61</v>
      </c>
      <c r="B62" s="5" t="n">
        <v>20260201</v>
      </c>
      <c r="C62" s="5" t="n">
        <v>1</v>
      </c>
      <c r="D62" s="5" t="n">
        <v>1</v>
      </c>
      <c r="E62" s="5" t="n">
        <v>40</v>
      </c>
      <c r="F62" s="5" t="n">
        <v>101</v>
      </c>
      <c r="G62" s="5" t="n">
        <v>8</v>
      </c>
      <c r="H62" s="5" t="n">
        <v>68</v>
      </c>
      <c r="I62" s="5" t="n">
        <v>100</v>
      </c>
      <c r="J62" s="5" t="n">
        <v>78009</v>
      </c>
      <c r="K62" s="5" t="n">
        <v>15049</v>
      </c>
      <c r="L62" s="5" t="n">
        <v>12967</v>
      </c>
      <c r="M62" s="5" t="n">
        <v>0</v>
      </c>
      <c r="N62" s="5" t="n">
        <v>30434</v>
      </c>
      <c r="O62" s="5" t="n">
        <v>0</v>
      </c>
      <c r="P62" s="5" t="n">
        <v>4500</v>
      </c>
    </row>
    <row r="63" customFormat="false" ht="15" hidden="false" customHeight="false" outlineLevel="0" collapsed="false">
      <c r="A63" s="5" t="n">
        <v>62</v>
      </c>
      <c r="B63" s="5" t="n">
        <v>20260201</v>
      </c>
      <c r="C63" s="5" t="n">
        <v>2</v>
      </c>
      <c r="D63" s="5" t="n">
        <v>1</v>
      </c>
      <c r="E63" s="5" t="n">
        <v>21</v>
      </c>
      <c r="F63" s="5" t="n">
        <v>55</v>
      </c>
      <c r="G63" s="5" t="n">
        <v>5</v>
      </c>
      <c r="H63" s="5" t="n">
        <v>40</v>
      </c>
      <c r="I63" s="5" t="n">
        <v>53</v>
      </c>
      <c r="J63" s="5" t="n">
        <v>50234</v>
      </c>
      <c r="K63" s="5" t="n">
        <v>8195</v>
      </c>
      <c r="L63" s="5" t="n">
        <v>6805</v>
      </c>
      <c r="M63" s="5" t="n">
        <v>0</v>
      </c>
      <c r="N63" s="5" t="n">
        <v>20382</v>
      </c>
      <c r="O63" s="5" t="n">
        <v>0</v>
      </c>
      <c r="P63" s="5" t="n">
        <v>2385</v>
      </c>
    </row>
    <row r="64" customFormat="false" ht="15" hidden="false" customHeight="false" outlineLevel="0" collapsed="false">
      <c r="A64" s="5" t="n">
        <v>63</v>
      </c>
      <c r="B64" s="5" t="n">
        <v>20260201</v>
      </c>
      <c r="C64" s="5" t="n">
        <v>3</v>
      </c>
      <c r="D64" s="5" t="n">
        <v>1</v>
      </c>
      <c r="E64" s="5" t="n">
        <v>12</v>
      </c>
      <c r="F64" s="5" t="n">
        <v>35</v>
      </c>
      <c r="G64" s="5" t="n">
        <v>3</v>
      </c>
      <c r="H64" s="5" t="n">
        <v>25</v>
      </c>
      <c r="I64" s="5" t="n">
        <v>34</v>
      </c>
      <c r="J64" s="5" t="n">
        <v>23372</v>
      </c>
      <c r="K64" s="5" t="n">
        <v>5215</v>
      </c>
      <c r="L64" s="5" t="n">
        <v>4463</v>
      </c>
      <c r="M64" s="5" t="n">
        <v>0</v>
      </c>
      <c r="N64" s="5" t="n">
        <v>9274</v>
      </c>
      <c r="O64" s="5" t="n">
        <v>0</v>
      </c>
      <c r="P64" s="5" t="n">
        <v>1530</v>
      </c>
    </row>
    <row r="65" customFormat="false" ht="15" hidden="false" customHeight="false" outlineLevel="0" collapsed="false">
      <c r="A65" s="5" t="n">
        <v>64</v>
      </c>
      <c r="B65" s="5" t="n">
        <v>20260201</v>
      </c>
      <c r="C65" s="5" t="n">
        <v>1</v>
      </c>
      <c r="D65" s="5" t="n">
        <v>2</v>
      </c>
      <c r="E65" s="5" t="n">
        <v>32</v>
      </c>
      <c r="F65" s="5" t="n">
        <v>84</v>
      </c>
      <c r="G65" s="5" t="n">
        <v>7</v>
      </c>
      <c r="H65" s="5" t="n">
        <v>54</v>
      </c>
      <c r="I65" s="5" t="n">
        <v>82</v>
      </c>
      <c r="J65" s="5" t="n">
        <v>66210</v>
      </c>
      <c r="K65" s="5" t="n">
        <v>12516</v>
      </c>
      <c r="L65" s="5" t="n">
        <v>10524</v>
      </c>
      <c r="M65" s="5" t="n">
        <v>0</v>
      </c>
      <c r="N65" s="5" t="n">
        <v>25628</v>
      </c>
      <c r="O65" s="5" t="n">
        <v>1968</v>
      </c>
      <c r="P65" s="5" t="n">
        <v>3690</v>
      </c>
    </row>
    <row r="66" customFormat="false" ht="15" hidden="false" customHeight="false" outlineLevel="0" collapsed="false">
      <c r="A66" s="5" t="n">
        <v>65</v>
      </c>
      <c r="B66" s="5" t="n">
        <v>20260201</v>
      </c>
      <c r="C66" s="5" t="n">
        <v>2</v>
      </c>
      <c r="D66" s="5" t="n">
        <v>2</v>
      </c>
      <c r="E66" s="5" t="n">
        <v>21</v>
      </c>
      <c r="F66" s="5" t="n">
        <v>53</v>
      </c>
      <c r="G66" s="5" t="n">
        <v>5</v>
      </c>
      <c r="H66" s="5" t="n">
        <v>35</v>
      </c>
      <c r="I66" s="5" t="n">
        <v>52</v>
      </c>
      <c r="J66" s="5" t="n">
        <v>45986</v>
      </c>
      <c r="K66" s="5" t="n">
        <v>7897</v>
      </c>
      <c r="L66" s="5" t="n">
        <v>6789</v>
      </c>
      <c r="M66" s="5" t="n">
        <v>0</v>
      </c>
      <c r="N66" s="5" t="n">
        <v>17754</v>
      </c>
      <c r="O66" s="5" t="n">
        <v>1347</v>
      </c>
      <c r="P66" s="5" t="n">
        <v>2340</v>
      </c>
    </row>
    <row r="67" customFormat="false" ht="15" hidden="false" customHeight="false" outlineLevel="0" collapsed="false">
      <c r="A67" s="5" t="n">
        <v>66</v>
      </c>
      <c r="B67" s="5" t="n">
        <v>20260201</v>
      </c>
      <c r="C67" s="5" t="n">
        <v>3</v>
      </c>
      <c r="D67" s="5" t="n">
        <v>2</v>
      </c>
      <c r="E67" s="5" t="n">
        <v>11</v>
      </c>
      <c r="F67" s="5" t="n">
        <v>29</v>
      </c>
      <c r="G67" s="5" t="n">
        <v>3</v>
      </c>
      <c r="H67" s="5" t="n">
        <v>20</v>
      </c>
      <c r="I67" s="5" t="n">
        <v>28</v>
      </c>
      <c r="J67" s="5" t="n">
        <v>19609</v>
      </c>
      <c r="K67" s="5" t="n">
        <v>4321</v>
      </c>
      <c r="L67" s="5" t="n">
        <v>3806</v>
      </c>
      <c r="M67" s="5" t="n">
        <v>0</v>
      </c>
      <c r="N67" s="5" t="n">
        <v>7574</v>
      </c>
      <c r="O67" s="5" t="n">
        <v>598</v>
      </c>
      <c r="P67" s="5" t="n">
        <v>1260</v>
      </c>
    </row>
    <row r="68" customFormat="false" ht="15" hidden="false" customHeight="false" outlineLevel="0" collapsed="false">
      <c r="A68" s="5" t="n">
        <v>67</v>
      </c>
      <c r="B68" s="5" t="n">
        <v>20260201</v>
      </c>
      <c r="C68" s="5" t="n">
        <v>1</v>
      </c>
      <c r="D68" s="5" t="n">
        <v>3</v>
      </c>
      <c r="E68" s="5" t="n">
        <v>26</v>
      </c>
      <c r="F68" s="5" t="n">
        <v>67</v>
      </c>
      <c r="G68" s="5" t="n">
        <v>5</v>
      </c>
      <c r="H68" s="5" t="n">
        <v>43</v>
      </c>
      <c r="I68" s="5" t="n">
        <v>64</v>
      </c>
      <c r="J68" s="5" t="n">
        <v>48351</v>
      </c>
      <c r="K68" s="5" t="n">
        <v>9983</v>
      </c>
      <c r="L68" s="5" t="n">
        <v>7576</v>
      </c>
      <c r="M68" s="5" t="n">
        <v>0</v>
      </c>
      <c r="N68" s="5" t="n">
        <v>19938</v>
      </c>
      <c r="O68" s="5" t="n">
        <v>5833</v>
      </c>
      <c r="P68" s="5" t="n">
        <v>2880</v>
      </c>
    </row>
    <row r="69" customFormat="false" ht="15" hidden="false" customHeight="false" outlineLevel="0" collapsed="false">
      <c r="A69" s="5" t="n">
        <v>68</v>
      </c>
      <c r="B69" s="5" t="n">
        <v>20260201</v>
      </c>
      <c r="C69" s="5" t="n">
        <v>2</v>
      </c>
      <c r="D69" s="5" t="n">
        <v>3</v>
      </c>
      <c r="E69" s="5" t="n">
        <v>14</v>
      </c>
      <c r="F69" s="5" t="n">
        <v>39</v>
      </c>
      <c r="G69" s="5" t="n">
        <v>3</v>
      </c>
      <c r="H69" s="5" t="n">
        <v>28</v>
      </c>
      <c r="I69" s="5" t="n">
        <v>38</v>
      </c>
      <c r="J69" s="5" t="n">
        <v>35820</v>
      </c>
      <c r="K69" s="5" t="n">
        <v>5811</v>
      </c>
      <c r="L69" s="5" t="n">
        <v>4465</v>
      </c>
      <c r="M69" s="5" t="n">
        <v>0</v>
      </c>
      <c r="N69" s="5" t="n">
        <v>14620</v>
      </c>
      <c r="O69" s="5" t="n">
        <v>4163</v>
      </c>
      <c r="P69" s="5" t="n">
        <v>1710</v>
      </c>
    </row>
    <row r="70" customFormat="false" ht="15" hidden="false" customHeight="false" outlineLevel="0" collapsed="false">
      <c r="A70" s="5" t="n">
        <v>69</v>
      </c>
      <c r="B70" s="5" t="n">
        <v>20260201</v>
      </c>
      <c r="C70" s="5" t="n">
        <v>3</v>
      </c>
      <c r="D70" s="5" t="n">
        <v>3</v>
      </c>
      <c r="E70" s="5" t="n">
        <v>9</v>
      </c>
      <c r="F70" s="5" t="n">
        <v>24</v>
      </c>
      <c r="G70" s="5" t="n">
        <v>2</v>
      </c>
      <c r="H70" s="5" t="n">
        <v>17</v>
      </c>
      <c r="I70" s="5" t="n">
        <v>24</v>
      </c>
      <c r="J70" s="5" t="n">
        <v>17369</v>
      </c>
      <c r="K70" s="5" t="n">
        <v>3576</v>
      </c>
      <c r="L70" s="5" t="n">
        <v>2933</v>
      </c>
      <c r="M70" s="5" t="n">
        <v>0</v>
      </c>
      <c r="N70" s="5" t="n">
        <v>6983</v>
      </c>
      <c r="O70" s="5" t="n">
        <v>2094</v>
      </c>
      <c r="P70" s="5" t="n">
        <v>1080</v>
      </c>
    </row>
    <row r="71" customFormat="false" ht="15" hidden="false" customHeight="false" outlineLevel="0" collapsed="false">
      <c r="A71" s="5" t="n">
        <v>70</v>
      </c>
      <c r="B71" s="5" t="n">
        <v>20260201</v>
      </c>
      <c r="C71" s="5" t="n">
        <v>1</v>
      </c>
      <c r="D71" s="5" t="n">
        <v>4</v>
      </c>
      <c r="E71" s="5" t="n">
        <v>19</v>
      </c>
      <c r="F71" s="5" t="n">
        <v>51</v>
      </c>
      <c r="G71" s="5" t="n">
        <v>4</v>
      </c>
      <c r="H71" s="5" t="n">
        <v>35</v>
      </c>
      <c r="I71" s="5" t="n">
        <v>49</v>
      </c>
      <c r="J71" s="5" t="n">
        <v>37437</v>
      </c>
      <c r="K71" s="5" t="n">
        <v>7599</v>
      </c>
      <c r="L71" s="5" t="n">
        <v>6580</v>
      </c>
      <c r="M71" s="5" t="n">
        <v>0</v>
      </c>
      <c r="N71" s="5" t="n">
        <v>14833</v>
      </c>
      <c r="O71" s="5" t="n">
        <v>2702</v>
      </c>
      <c r="P71" s="5" t="n">
        <v>2205</v>
      </c>
    </row>
    <row r="72" customFormat="false" ht="15" hidden="false" customHeight="false" outlineLevel="0" collapsed="false">
      <c r="A72" s="5" t="n">
        <v>71</v>
      </c>
      <c r="B72" s="5" t="n">
        <v>20260201</v>
      </c>
      <c r="C72" s="5" t="n">
        <v>2</v>
      </c>
      <c r="D72" s="5" t="n">
        <v>4</v>
      </c>
      <c r="E72" s="5" t="n">
        <v>11</v>
      </c>
      <c r="F72" s="5" t="n">
        <v>28</v>
      </c>
      <c r="G72" s="5" t="n">
        <v>2</v>
      </c>
      <c r="H72" s="5" t="n">
        <v>21</v>
      </c>
      <c r="I72" s="5" t="n">
        <v>27</v>
      </c>
      <c r="J72" s="5" t="n">
        <v>25441</v>
      </c>
      <c r="K72" s="5" t="n">
        <v>4172</v>
      </c>
      <c r="L72" s="5" t="n">
        <v>3509</v>
      </c>
      <c r="M72" s="5" t="n">
        <v>0</v>
      </c>
      <c r="N72" s="5" t="n">
        <v>10194</v>
      </c>
      <c r="O72" s="5" t="n">
        <v>1777</v>
      </c>
      <c r="P72" s="5" t="n">
        <v>1215</v>
      </c>
    </row>
    <row r="73" customFormat="false" ht="15" hidden="false" customHeight="false" outlineLevel="0" collapsed="false">
      <c r="A73" s="5" t="n">
        <v>72</v>
      </c>
      <c r="B73" s="5" t="n">
        <v>20260201</v>
      </c>
      <c r="C73" s="5" t="n">
        <v>3</v>
      </c>
      <c r="D73" s="5" t="n">
        <v>4</v>
      </c>
      <c r="E73" s="5" t="n">
        <v>7</v>
      </c>
      <c r="F73" s="5" t="n">
        <v>17</v>
      </c>
      <c r="G73" s="5" t="n">
        <v>2</v>
      </c>
      <c r="H73" s="5" t="n">
        <v>12</v>
      </c>
      <c r="I73" s="5" t="n">
        <v>16</v>
      </c>
      <c r="J73" s="5" t="n">
        <v>11550</v>
      </c>
      <c r="K73" s="5" t="n">
        <v>2533</v>
      </c>
      <c r="L73" s="5" t="n">
        <v>2115</v>
      </c>
      <c r="M73" s="5" t="n">
        <v>0</v>
      </c>
      <c r="N73" s="5" t="n">
        <v>4591</v>
      </c>
      <c r="O73" s="5" t="n">
        <v>845</v>
      </c>
      <c r="P73" s="5" t="n">
        <v>720</v>
      </c>
    </row>
    <row r="74" customFormat="false" ht="15" hidden="false" customHeight="false" outlineLevel="0" collapsed="false">
      <c r="A74" s="5" t="n">
        <v>73</v>
      </c>
      <c r="B74" s="5" t="n">
        <v>20260201</v>
      </c>
      <c r="C74" s="5" t="n">
        <v>1</v>
      </c>
      <c r="D74" s="5" t="n">
        <v>5</v>
      </c>
      <c r="E74" s="5" t="n">
        <v>9</v>
      </c>
      <c r="F74" s="5" t="n">
        <v>16</v>
      </c>
      <c r="G74" s="5" t="n">
        <v>1</v>
      </c>
      <c r="H74" s="5" t="n">
        <v>12</v>
      </c>
      <c r="I74" s="5" t="n">
        <v>15</v>
      </c>
      <c r="J74" s="5" t="n">
        <v>11324</v>
      </c>
      <c r="K74" s="5" t="n">
        <v>2384</v>
      </c>
      <c r="L74" s="5" t="n">
        <v>1743</v>
      </c>
      <c r="M74" s="5" t="n">
        <v>5250</v>
      </c>
      <c r="N74" s="5" t="n">
        <v>4542</v>
      </c>
      <c r="O74" s="5" t="n">
        <v>0</v>
      </c>
      <c r="P74" s="5" t="n">
        <v>300</v>
      </c>
    </row>
    <row r="75" customFormat="false" ht="15" hidden="false" customHeight="false" outlineLevel="0" collapsed="false">
      <c r="A75" s="5" t="n">
        <v>74</v>
      </c>
      <c r="B75" s="5" t="n">
        <v>20260201</v>
      </c>
      <c r="C75" s="5" t="n">
        <v>2</v>
      </c>
      <c r="D75" s="5" t="n">
        <v>5</v>
      </c>
      <c r="E75" s="5" t="n">
        <v>6</v>
      </c>
      <c r="F75" s="5" t="n">
        <v>10</v>
      </c>
      <c r="G75" s="5" t="n">
        <v>1</v>
      </c>
      <c r="H75" s="5" t="n">
        <v>7</v>
      </c>
      <c r="I75" s="5" t="n">
        <v>10</v>
      </c>
      <c r="J75" s="5" t="n">
        <v>9380</v>
      </c>
      <c r="K75" s="5" t="n">
        <v>1490</v>
      </c>
      <c r="L75" s="5" t="n">
        <v>1269</v>
      </c>
      <c r="M75" s="5" t="n">
        <v>3500</v>
      </c>
      <c r="N75" s="5" t="n">
        <v>3801</v>
      </c>
      <c r="O75" s="5" t="n">
        <v>0</v>
      </c>
      <c r="P75" s="5" t="n">
        <v>200</v>
      </c>
    </row>
    <row r="76" customFormat="false" ht="15" hidden="false" customHeight="false" outlineLevel="0" collapsed="false">
      <c r="A76" s="5" t="n">
        <v>75</v>
      </c>
      <c r="B76" s="5" t="n">
        <v>20260201</v>
      </c>
      <c r="C76" s="5" t="n">
        <v>3</v>
      </c>
      <c r="D76" s="5" t="n">
        <v>5</v>
      </c>
      <c r="E76" s="5" t="n">
        <v>3</v>
      </c>
      <c r="F76" s="5" t="n">
        <v>6</v>
      </c>
      <c r="G76" s="5" t="n">
        <v>0</v>
      </c>
      <c r="H76" s="5" t="n">
        <v>4</v>
      </c>
      <c r="I76" s="5" t="n">
        <v>6</v>
      </c>
      <c r="J76" s="5" t="n">
        <v>4210</v>
      </c>
      <c r="K76" s="5" t="n">
        <v>894</v>
      </c>
      <c r="L76" s="5" t="n">
        <v>754</v>
      </c>
      <c r="M76" s="5" t="n">
        <v>2100</v>
      </c>
      <c r="N76" s="5" t="n">
        <v>1706</v>
      </c>
      <c r="O76" s="5" t="n">
        <v>0</v>
      </c>
      <c r="P76" s="5" t="n">
        <v>120</v>
      </c>
    </row>
    <row r="77" customFormat="false" ht="15" hidden="false" customHeight="false" outlineLevel="0" collapsed="false">
      <c r="A77" s="5" t="n">
        <v>76</v>
      </c>
      <c r="B77" s="5" t="n">
        <v>20260301</v>
      </c>
      <c r="C77" s="5" t="n">
        <v>1</v>
      </c>
      <c r="D77" s="5" t="n">
        <v>1</v>
      </c>
      <c r="E77" s="5" t="n">
        <v>45</v>
      </c>
      <c r="F77" s="5" t="n">
        <v>136</v>
      </c>
      <c r="G77" s="5" t="n">
        <v>10</v>
      </c>
      <c r="H77" s="5" t="n">
        <v>95</v>
      </c>
      <c r="I77" s="5" t="n">
        <v>132</v>
      </c>
      <c r="J77" s="5" t="n">
        <v>99025</v>
      </c>
      <c r="K77" s="5" t="n">
        <v>20264</v>
      </c>
      <c r="L77" s="5" t="n">
        <v>16793</v>
      </c>
      <c r="M77" s="5" t="n">
        <v>0</v>
      </c>
      <c r="N77" s="5" t="n">
        <v>40682</v>
      </c>
      <c r="O77" s="5" t="n">
        <v>0</v>
      </c>
      <c r="P77" s="5" t="n">
        <v>5940</v>
      </c>
    </row>
    <row r="78" customFormat="false" ht="15" hidden="false" customHeight="false" outlineLevel="0" collapsed="false">
      <c r="A78" s="5" t="n">
        <v>77</v>
      </c>
      <c r="B78" s="5" t="n">
        <v>20260301</v>
      </c>
      <c r="C78" s="5" t="n">
        <v>2</v>
      </c>
      <c r="D78" s="5" t="n">
        <v>1</v>
      </c>
      <c r="E78" s="5" t="n">
        <v>26</v>
      </c>
      <c r="F78" s="5" t="n">
        <v>75</v>
      </c>
      <c r="G78" s="5" t="n">
        <v>6</v>
      </c>
      <c r="H78" s="5" t="n">
        <v>54</v>
      </c>
      <c r="I78" s="5" t="n">
        <v>71</v>
      </c>
      <c r="J78" s="5" t="n">
        <v>63448</v>
      </c>
      <c r="K78" s="5" t="n">
        <v>11175</v>
      </c>
      <c r="L78" s="5" t="n">
        <v>8576</v>
      </c>
      <c r="M78" s="5" t="n">
        <v>0</v>
      </c>
      <c r="N78" s="5" t="n">
        <v>26268</v>
      </c>
      <c r="O78" s="5" t="n">
        <v>0</v>
      </c>
      <c r="P78" s="5" t="n">
        <v>3195</v>
      </c>
    </row>
    <row r="79" customFormat="false" ht="15" hidden="false" customHeight="false" outlineLevel="0" collapsed="false">
      <c r="A79" s="5" t="n">
        <v>78</v>
      </c>
      <c r="B79" s="5" t="n">
        <v>20260301</v>
      </c>
      <c r="C79" s="5" t="n">
        <v>3</v>
      </c>
      <c r="D79" s="5" t="n">
        <v>1</v>
      </c>
      <c r="E79" s="5" t="n">
        <v>16</v>
      </c>
      <c r="F79" s="5" t="n">
        <v>47</v>
      </c>
      <c r="G79" s="5" t="n">
        <v>4</v>
      </c>
      <c r="H79" s="5" t="n">
        <v>35</v>
      </c>
      <c r="I79" s="5" t="n">
        <v>46</v>
      </c>
      <c r="J79" s="5" t="n">
        <v>33232</v>
      </c>
      <c r="K79" s="5" t="n">
        <v>7003</v>
      </c>
      <c r="L79" s="5" t="n">
        <v>5357</v>
      </c>
      <c r="M79" s="5" t="n">
        <v>0</v>
      </c>
      <c r="N79" s="5" t="n">
        <v>13907</v>
      </c>
      <c r="O79" s="5" t="n">
        <v>0</v>
      </c>
      <c r="P79" s="5" t="n">
        <v>2070</v>
      </c>
    </row>
    <row r="80" customFormat="false" ht="15" hidden="false" customHeight="false" outlineLevel="0" collapsed="false">
      <c r="A80" s="5" t="n">
        <v>79</v>
      </c>
      <c r="B80" s="5" t="n">
        <v>20260301</v>
      </c>
      <c r="C80" s="5" t="n">
        <v>1</v>
      </c>
      <c r="D80" s="5" t="n">
        <v>2</v>
      </c>
      <c r="E80" s="5" t="n">
        <v>44</v>
      </c>
      <c r="F80" s="5" t="n">
        <v>118</v>
      </c>
      <c r="G80" s="5" t="n">
        <v>10</v>
      </c>
      <c r="H80" s="5" t="n">
        <v>84</v>
      </c>
      <c r="I80" s="5" t="n">
        <v>115</v>
      </c>
      <c r="J80" s="5" t="n">
        <v>87646</v>
      </c>
      <c r="K80" s="5" t="n">
        <v>17582</v>
      </c>
      <c r="L80" s="5" t="n">
        <v>14978</v>
      </c>
      <c r="M80" s="5" t="n">
        <v>0</v>
      </c>
      <c r="N80" s="5" t="n">
        <v>33971</v>
      </c>
      <c r="O80" s="5" t="n">
        <v>2631</v>
      </c>
      <c r="P80" s="5" t="n">
        <v>5175</v>
      </c>
    </row>
    <row r="81" customFormat="false" ht="15" hidden="false" customHeight="false" outlineLevel="0" collapsed="false">
      <c r="A81" s="5" t="n">
        <v>80</v>
      </c>
      <c r="B81" s="5" t="n">
        <v>20260301</v>
      </c>
      <c r="C81" s="5" t="n">
        <v>2</v>
      </c>
      <c r="D81" s="5" t="n">
        <v>2</v>
      </c>
      <c r="E81" s="5" t="n">
        <v>21</v>
      </c>
      <c r="F81" s="5" t="n">
        <v>68</v>
      </c>
      <c r="G81" s="5" t="n">
        <v>6</v>
      </c>
      <c r="H81" s="5" t="n">
        <v>44</v>
      </c>
      <c r="I81" s="5" t="n">
        <v>66</v>
      </c>
      <c r="J81" s="5" t="n">
        <v>60719</v>
      </c>
      <c r="K81" s="5" t="n">
        <v>10132</v>
      </c>
      <c r="L81" s="5" t="n">
        <v>7479</v>
      </c>
      <c r="M81" s="5" t="n">
        <v>0</v>
      </c>
      <c r="N81" s="5" t="n">
        <v>23783</v>
      </c>
      <c r="O81" s="5" t="n">
        <v>1771</v>
      </c>
      <c r="P81" s="5" t="n">
        <v>2970</v>
      </c>
    </row>
    <row r="82" customFormat="false" ht="15" hidden="false" customHeight="false" outlineLevel="0" collapsed="false">
      <c r="A82" s="5" t="n">
        <v>81</v>
      </c>
      <c r="B82" s="5" t="n">
        <v>20260301</v>
      </c>
      <c r="C82" s="5" t="n">
        <v>3</v>
      </c>
      <c r="D82" s="5" t="n">
        <v>2</v>
      </c>
      <c r="E82" s="5" t="n">
        <v>13</v>
      </c>
      <c r="F82" s="5" t="n">
        <v>39</v>
      </c>
      <c r="G82" s="5" t="n">
        <v>3</v>
      </c>
      <c r="H82" s="5" t="n">
        <v>28</v>
      </c>
      <c r="I82" s="5" t="n">
        <v>38</v>
      </c>
      <c r="J82" s="5" t="n">
        <v>27202</v>
      </c>
      <c r="K82" s="5" t="n">
        <v>5811</v>
      </c>
      <c r="L82" s="5" t="n">
        <v>4499</v>
      </c>
      <c r="M82" s="5" t="n">
        <v>0</v>
      </c>
      <c r="N82" s="5" t="n">
        <v>10983</v>
      </c>
      <c r="O82" s="5" t="n">
        <v>825</v>
      </c>
      <c r="P82" s="5" t="n">
        <v>1710</v>
      </c>
    </row>
    <row r="83" customFormat="false" ht="15" hidden="false" customHeight="false" outlineLevel="0" collapsed="false">
      <c r="A83" s="5" t="n">
        <v>82</v>
      </c>
      <c r="B83" s="5" t="n">
        <v>20260301</v>
      </c>
      <c r="C83" s="5" t="n">
        <v>1</v>
      </c>
      <c r="D83" s="5" t="n">
        <v>3</v>
      </c>
      <c r="E83" s="5" t="n">
        <v>33</v>
      </c>
      <c r="F83" s="5" t="n">
        <v>92</v>
      </c>
      <c r="G83" s="5" t="n">
        <v>8</v>
      </c>
      <c r="H83" s="5" t="n">
        <v>67</v>
      </c>
      <c r="I83" s="5" t="n">
        <v>88</v>
      </c>
      <c r="J83" s="5" t="n">
        <v>66243</v>
      </c>
      <c r="K83" s="5" t="n">
        <v>13708</v>
      </c>
      <c r="L83" s="5" t="n">
        <v>10806</v>
      </c>
      <c r="M83" s="5" t="n">
        <v>0</v>
      </c>
      <c r="N83" s="5" t="n">
        <v>27466</v>
      </c>
      <c r="O83" s="5" t="n">
        <v>7995</v>
      </c>
      <c r="P83" s="5" t="n">
        <v>3960</v>
      </c>
    </row>
    <row r="84" customFormat="false" ht="15" hidden="false" customHeight="false" outlineLevel="0" collapsed="false">
      <c r="A84" s="5" t="n">
        <v>83</v>
      </c>
      <c r="B84" s="5" t="n">
        <v>20260301</v>
      </c>
      <c r="C84" s="5" t="n">
        <v>2</v>
      </c>
      <c r="D84" s="5" t="n">
        <v>3</v>
      </c>
      <c r="E84" s="5" t="n">
        <v>19</v>
      </c>
      <c r="F84" s="5" t="n">
        <v>54</v>
      </c>
      <c r="G84" s="5" t="n">
        <v>4</v>
      </c>
      <c r="H84" s="5" t="n">
        <v>40</v>
      </c>
      <c r="I84" s="5" t="n">
        <v>52</v>
      </c>
      <c r="J84" s="5" t="n">
        <v>48746</v>
      </c>
      <c r="K84" s="5" t="n">
        <v>8046</v>
      </c>
      <c r="L84" s="5" t="n">
        <v>6926</v>
      </c>
      <c r="M84" s="5" t="n">
        <v>0</v>
      </c>
      <c r="N84" s="5" t="n">
        <v>19063</v>
      </c>
      <c r="O84" s="5" t="n">
        <v>5679</v>
      </c>
      <c r="P84" s="5" t="n">
        <v>2340</v>
      </c>
    </row>
    <row r="85" customFormat="false" ht="15" hidden="false" customHeight="false" outlineLevel="0" collapsed="false">
      <c r="A85" s="5" t="n">
        <v>84</v>
      </c>
      <c r="B85" s="5" t="n">
        <v>20260301</v>
      </c>
      <c r="C85" s="5" t="n">
        <v>3</v>
      </c>
      <c r="D85" s="5" t="n">
        <v>3</v>
      </c>
      <c r="E85" s="5" t="n">
        <v>11</v>
      </c>
      <c r="F85" s="5" t="n">
        <v>32</v>
      </c>
      <c r="G85" s="5" t="n">
        <v>3</v>
      </c>
      <c r="H85" s="5" t="n">
        <v>22</v>
      </c>
      <c r="I85" s="5" t="n">
        <v>31</v>
      </c>
      <c r="J85" s="5" t="n">
        <v>21479</v>
      </c>
      <c r="K85" s="5" t="n">
        <v>4768</v>
      </c>
      <c r="L85" s="5" t="n">
        <v>3978</v>
      </c>
      <c r="M85" s="5" t="n">
        <v>0</v>
      </c>
      <c r="N85" s="5" t="n">
        <v>8968</v>
      </c>
      <c r="O85" s="5" t="n">
        <v>2625</v>
      </c>
      <c r="P85" s="5" t="n">
        <v>1395</v>
      </c>
    </row>
    <row r="86" customFormat="false" ht="15" hidden="false" customHeight="false" outlineLevel="0" collapsed="false">
      <c r="A86" s="5" t="n">
        <v>85</v>
      </c>
      <c r="B86" s="5" t="n">
        <v>20260301</v>
      </c>
      <c r="C86" s="5" t="n">
        <v>1</v>
      </c>
      <c r="D86" s="5" t="n">
        <v>4</v>
      </c>
      <c r="E86" s="5" t="n">
        <v>24</v>
      </c>
      <c r="F86" s="5" t="n">
        <v>70</v>
      </c>
      <c r="G86" s="5" t="n">
        <v>5</v>
      </c>
      <c r="H86" s="5" t="n">
        <v>53</v>
      </c>
      <c r="I86" s="5" t="n">
        <v>67</v>
      </c>
      <c r="J86" s="5" t="n">
        <v>54102</v>
      </c>
      <c r="K86" s="5" t="n">
        <v>10430</v>
      </c>
      <c r="L86" s="5" t="n">
        <v>8488</v>
      </c>
      <c r="M86" s="5" t="n">
        <v>0</v>
      </c>
      <c r="N86" s="5" t="n">
        <v>22431</v>
      </c>
      <c r="O86" s="5" t="n">
        <v>3872</v>
      </c>
      <c r="P86" s="5" t="n">
        <v>3015</v>
      </c>
    </row>
    <row r="87" customFormat="false" ht="15" hidden="false" customHeight="false" outlineLevel="0" collapsed="false">
      <c r="A87" s="5" t="n">
        <v>86</v>
      </c>
      <c r="B87" s="5" t="n">
        <v>20260301</v>
      </c>
      <c r="C87" s="5" t="n">
        <v>2</v>
      </c>
      <c r="D87" s="5" t="n">
        <v>4</v>
      </c>
      <c r="E87" s="5" t="n">
        <v>13</v>
      </c>
      <c r="F87" s="5" t="n">
        <v>38</v>
      </c>
      <c r="G87" s="5" t="n">
        <v>3</v>
      </c>
      <c r="H87" s="5" t="n">
        <v>29</v>
      </c>
      <c r="I87" s="5" t="n">
        <v>37</v>
      </c>
      <c r="J87" s="5" t="n">
        <v>34583</v>
      </c>
      <c r="K87" s="5" t="n">
        <v>5662</v>
      </c>
      <c r="L87" s="5" t="n">
        <v>4542</v>
      </c>
      <c r="M87" s="5" t="n">
        <v>0</v>
      </c>
      <c r="N87" s="5" t="n">
        <v>13388</v>
      </c>
      <c r="O87" s="5" t="n">
        <v>2415</v>
      </c>
      <c r="P87" s="5" t="n">
        <v>1665</v>
      </c>
    </row>
    <row r="88" customFormat="false" ht="15" hidden="false" customHeight="false" outlineLevel="0" collapsed="false">
      <c r="A88" s="5" t="n">
        <v>87</v>
      </c>
      <c r="B88" s="5" t="n">
        <v>20260301</v>
      </c>
      <c r="C88" s="5" t="n">
        <v>3</v>
      </c>
      <c r="D88" s="5" t="n">
        <v>4</v>
      </c>
      <c r="E88" s="5" t="n">
        <v>7</v>
      </c>
      <c r="F88" s="5" t="n">
        <v>22</v>
      </c>
      <c r="G88" s="5" t="n">
        <v>2</v>
      </c>
      <c r="H88" s="5" t="n">
        <v>16</v>
      </c>
      <c r="I88" s="5" t="n">
        <v>21</v>
      </c>
      <c r="J88" s="5" t="n">
        <v>15094</v>
      </c>
      <c r="K88" s="5" t="n">
        <v>3278</v>
      </c>
      <c r="L88" s="5" t="n">
        <v>2597</v>
      </c>
      <c r="M88" s="5" t="n">
        <v>0</v>
      </c>
      <c r="N88" s="5" t="n">
        <v>6057</v>
      </c>
      <c r="O88" s="5" t="n">
        <v>1102</v>
      </c>
      <c r="P88" s="5" t="n">
        <v>945</v>
      </c>
    </row>
    <row r="89" customFormat="false" ht="15" hidden="false" customHeight="false" outlineLevel="0" collapsed="false">
      <c r="A89" s="5" t="n">
        <v>88</v>
      </c>
      <c r="B89" s="5" t="n">
        <v>20260301</v>
      </c>
      <c r="C89" s="5" t="n">
        <v>1</v>
      </c>
      <c r="D89" s="5" t="n">
        <v>5</v>
      </c>
      <c r="E89" s="5" t="n">
        <v>13</v>
      </c>
      <c r="F89" s="5" t="n">
        <v>27</v>
      </c>
      <c r="G89" s="5" t="n">
        <v>2</v>
      </c>
      <c r="H89" s="5" t="n">
        <v>20</v>
      </c>
      <c r="I89" s="5" t="n">
        <v>26</v>
      </c>
      <c r="J89" s="5" t="n">
        <v>20867</v>
      </c>
      <c r="K89" s="5" t="n">
        <v>4023</v>
      </c>
      <c r="L89" s="5" t="n">
        <v>2958</v>
      </c>
      <c r="M89" s="5" t="n">
        <v>9100</v>
      </c>
      <c r="N89" s="5" t="n">
        <v>8284</v>
      </c>
      <c r="O89" s="5" t="n">
        <v>0</v>
      </c>
      <c r="P89" s="5" t="n">
        <v>520</v>
      </c>
    </row>
    <row r="90" customFormat="false" ht="15" hidden="false" customHeight="false" outlineLevel="0" collapsed="false">
      <c r="A90" s="5" t="n">
        <v>89</v>
      </c>
      <c r="B90" s="5" t="n">
        <v>20260301</v>
      </c>
      <c r="C90" s="5" t="n">
        <v>2</v>
      </c>
      <c r="D90" s="5" t="n">
        <v>5</v>
      </c>
      <c r="E90" s="5" t="n">
        <v>7</v>
      </c>
      <c r="F90" s="5" t="n">
        <v>16</v>
      </c>
      <c r="G90" s="5" t="n">
        <v>1</v>
      </c>
      <c r="H90" s="5" t="n">
        <v>12</v>
      </c>
      <c r="I90" s="5" t="n">
        <v>16</v>
      </c>
      <c r="J90" s="5" t="n">
        <v>14467</v>
      </c>
      <c r="K90" s="5" t="n">
        <v>2384</v>
      </c>
      <c r="L90" s="5" t="n">
        <v>1793</v>
      </c>
      <c r="M90" s="5" t="n">
        <v>5600</v>
      </c>
      <c r="N90" s="5" t="n">
        <v>5736</v>
      </c>
      <c r="O90" s="5" t="n">
        <v>0</v>
      </c>
      <c r="P90" s="5" t="n">
        <v>320</v>
      </c>
    </row>
    <row r="91" customFormat="false" ht="15" hidden="false" customHeight="false" outlineLevel="0" collapsed="false">
      <c r="A91" s="5" t="n">
        <v>90</v>
      </c>
      <c r="B91" s="5" t="n">
        <v>20260301</v>
      </c>
      <c r="C91" s="5" t="n">
        <v>3</v>
      </c>
      <c r="D91" s="5" t="n">
        <v>5</v>
      </c>
      <c r="E91" s="5" t="n">
        <v>4</v>
      </c>
      <c r="F91" s="5" t="n">
        <v>9</v>
      </c>
      <c r="G91" s="5" t="n">
        <v>1</v>
      </c>
      <c r="H91" s="5" t="n">
        <v>7</v>
      </c>
      <c r="I91" s="5" t="n">
        <v>9</v>
      </c>
      <c r="J91" s="5" t="n">
        <v>6149</v>
      </c>
      <c r="K91" s="5" t="n">
        <v>1341</v>
      </c>
      <c r="L91" s="5" t="n">
        <v>1012</v>
      </c>
      <c r="M91" s="5" t="n">
        <v>3150</v>
      </c>
      <c r="N91" s="5" t="n">
        <v>2529</v>
      </c>
      <c r="O91" s="5" t="n">
        <v>0</v>
      </c>
      <c r="P91" s="5" t="n">
        <v>180</v>
      </c>
    </row>
    <row r="92" customFormat="false" ht="15" hidden="false" customHeight="false" outlineLevel="0" collapsed="false">
      <c r="A92" s="5" t="n">
        <v>91</v>
      </c>
      <c r="B92" s="5" t="n">
        <v>20260401</v>
      </c>
      <c r="C92" s="5" t="n">
        <v>1</v>
      </c>
      <c r="D92" s="5" t="n">
        <v>1</v>
      </c>
      <c r="E92" s="5" t="n">
        <v>50</v>
      </c>
      <c r="F92" s="5" t="n">
        <v>172</v>
      </c>
      <c r="G92" s="5" t="n">
        <v>14</v>
      </c>
      <c r="H92" s="5" t="n">
        <v>126</v>
      </c>
      <c r="I92" s="5" t="n">
        <v>168</v>
      </c>
      <c r="J92" s="5" t="n">
        <v>131062</v>
      </c>
      <c r="K92" s="5" t="n">
        <v>25628</v>
      </c>
      <c r="L92" s="5" t="n">
        <v>20018</v>
      </c>
      <c r="M92" s="5" t="n">
        <v>0</v>
      </c>
      <c r="N92" s="5" t="n">
        <v>50181</v>
      </c>
      <c r="O92" s="5" t="n">
        <v>0</v>
      </c>
      <c r="P92" s="5" t="n">
        <v>7560</v>
      </c>
    </row>
    <row r="93" customFormat="false" ht="15" hidden="false" customHeight="false" outlineLevel="0" collapsed="false">
      <c r="A93" s="5" t="n">
        <v>92</v>
      </c>
      <c r="B93" s="5" t="n">
        <v>20260401</v>
      </c>
      <c r="C93" s="5" t="n">
        <v>2</v>
      </c>
      <c r="D93" s="5" t="n">
        <v>1</v>
      </c>
      <c r="E93" s="5" t="n">
        <v>32</v>
      </c>
      <c r="F93" s="5" t="n">
        <v>99</v>
      </c>
      <c r="G93" s="5" t="n">
        <v>8</v>
      </c>
      <c r="H93" s="5" t="n">
        <v>70</v>
      </c>
      <c r="I93" s="5" t="n">
        <v>96</v>
      </c>
      <c r="J93" s="5" t="n">
        <v>86599</v>
      </c>
      <c r="K93" s="5" t="n">
        <v>14751</v>
      </c>
      <c r="L93" s="5" t="n">
        <v>11849</v>
      </c>
      <c r="M93" s="5" t="n">
        <v>0</v>
      </c>
      <c r="N93" s="5" t="n">
        <v>35624</v>
      </c>
      <c r="O93" s="5" t="n">
        <v>0</v>
      </c>
      <c r="P93" s="5" t="n">
        <v>4320</v>
      </c>
    </row>
    <row r="94" customFormat="false" ht="15" hidden="false" customHeight="false" outlineLevel="0" collapsed="false">
      <c r="A94" s="5" t="n">
        <v>93</v>
      </c>
      <c r="B94" s="5" t="n">
        <v>20260401</v>
      </c>
      <c r="C94" s="5" t="n">
        <v>3</v>
      </c>
      <c r="D94" s="5" t="n">
        <v>1</v>
      </c>
      <c r="E94" s="5" t="n">
        <v>20</v>
      </c>
      <c r="F94" s="5" t="n">
        <v>62</v>
      </c>
      <c r="G94" s="5" t="n">
        <v>5</v>
      </c>
      <c r="H94" s="5" t="n">
        <v>45</v>
      </c>
      <c r="I94" s="5" t="n">
        <v>60</v>
      </c>
      <c r="J94" s="5" t="n">
        <v>41757</v>
      </c>
      <c r="K94" s="5" t="n">
        <v>9238</v>
      </c>
      <c r="L94" s="5" t="n">
        <v>7354</v>
      </c>
      <c r="M94" s="5" t="n">
        <v>0</v>
      </c>
      <c r="N94" s="5" t="n">
        <v>16775</v>
      </c>
      <c r="O94" s="5" t="n">
        <v>0</v>
      </c>
      <c r="P94" s="5" t="n">
        <v>2700</v>
      </c>
    </row>
    <row r="95" customFormat="false" ht="15" hidden="false" customHeight="false" outlineLevel="0" collapsed="false">
      <c r="A95" s="5" t="n">
        <v>94</v>
      </c>
      <c r="B95" s="5" t="n">
        <v>20260401</v>
      </c>
      <c r="C95" s="5" t="n">
        <v>1</v>
      </c>
      <c r="D95" s="5" t="n">
        <v>2</v>
      </c>
      <c r="E95" s="5" t="n">
        <v>47</v>
      </c>
      <c r="F95" s="5" t="n">
        <v>153</v>
      </c>
      <c r="G95" s="5" t="n">
        <v>12</v>
      </c>
      <c r="H95" s="5" t="n">
        <v>123</v>
      </c>
      <c r="I95" s="5" t="n">
        <v>148</v>
      </c>
      <c r="J95" s="5" t="n">
        <v>111516</v>
      </c>
      <c r="K95" s="5" t="n">
        <v>22797</v>
      </c>
      <c r="L95" s="5" t="n">
        <v>19392</v>
      </c>
      <c r="M95" s="5" t="n">
        <v>0</v>
      </c>
      <c r="N95" s="5" t="n">
        <v>43584</v>
      </c>
      <c r="O95" s="5" t="n">
        <v>3358</v>
      </c>
      <c r="P95" s="5" t="n">
        <v>6660</v>
      </c>
    </row>
    <row r="96" customFormat="false" ht="15" hidden="false" customHeight="false" outlineLevel="0" collapsed="false">
      <c r="A96" s="5" t="n">
        <v>95</v>
      </c>
      <c r="B96" s="5" t="n">
        <v>20260401</v>
      </c>
      <c r="C96" s="5" t="n">
        <v>2</v>
      </c>
      <c r="D96" s="5" t="n">
        <v>2</v>
      </c>
      <c r="E96" s="5" t="n">
        <v>28</v>
      </c>
      <c r="F96" s="5" t="n">
        <v>89</v>
      </c>
      <c r="G96" s="5" t="n">
        <v>7</v>
      </c>
      <c r="H96" s="5" t="n">
        <v>65</v>
      </c>
      <c r="I96" s="5" t="n">
        <v>85</v>
      </c>
      <c r="J96" s="5" t="n">
        <v>79522</v>
      </c>
      <c r="K96" s="5" t="n">
        <v>13261</v>
      </c>
      <c r="L96" s="5" t="n">
        <v>10815</v>
      </c>
      <c r="M96" s="5" t="n">
        <v>0</v>
      </c>
      <c r="N96" s="5" t="n">
        <v>30562</v>
      </c>
      <c r="O96" s="5" t="n">
        <v>2320</v>
      </c>
      <c r="P96" s="5" t="n">
        <v>3825</v>
      </c>
    </row>
    <row r="97" customFormat="false" ht="15" hidden="false" customHeight="false" outlineLevel="0" collapsed="false">
      <c r="A97" s="5" t="n">
        <v>96</v>
      </c>
      <c r="B97" s="5" t="n">
        <v>20260401</v>
      </c>
      <c r="C97" s="5" t="n">
        <v>3</v>
      </c>
      <c r="D97" s="5" t="n">
        <v>2</v>
      </c>
      <c r="E97" s="5" t="n">
        <v>18</v>
      </c>
      <c r="F97" s="5" t="n">
        <v>53</v>
      </c>
      <c r="G97" s="5" t="n">
        <v>4</v>
      </c>
      <c r="H97" s="5" t="n">
        <v>41</v>
      </c>
      <c r="I97" s="5" t="n">
        <v>52</v>
      </c>
      <c r="J97" s="5" t="n">
        <v>36480</v>
      </c>
      <c r="K97" s="5" t="n">
        <v>7897</v>
      </c>
      <c r="L97" s="5" t="n">
        <v>6118</v>
      </c>
      <c r="M97" s="5" t="n">
        <v>0</v>
      </c>
      <c r="N97" s="5" t="n">
        <v>14243</v>
      </c>
      <c r="O97" s="5" t="n">
        <v>1109</v>
      </c>
      <c r="P97" s="5" t="n">
        <v>2340</v>
      </c>
    </row>
    <row r="98" customFormat="false" ht="15" hidden="false" customHeight="false" outlineLevel="0" collapsed="false">
      <c r="A98" s="5" t="n">
        <v>97</v>
      </c>
      <c r="B98" s="5" t="n">
        <v>20260401</v>
      </c>
      <c r="C98" s="5" t="n">
        <v>1</v>
      </c>
      <c r="D98" s="5" t="n">
        <v>3</v>
      </c>
      <c r="E98" s="5" t="n">
        <v>34</v>
      </c>
      <c r="F98" s="5" t="n">
        <v>117</v>
      </c>
      <c r="G98" s="5" t="n">
        <v>9</v>
      </c>
      <c r="H98" s="5" t="n">
        <v>87</v>
      </c>
      <c r="I98" s="5" t="n">
        <v>115</v>
      </c>
      <c r="J98" s="5" t="n">
        <v>87569</v>
      </c>
      <c r="K98" s="5" t="n">
        <v>17433</v>
      </c>
      <c r="L98" s="5" t="n">
        <v>14105</v>
      </c>
      <c r="M98" s="5" t="n">
        <v>0</v>
      </c>
      <c r="N98" s="5" t="n">
        <v>34177</v>
      </c>
      <c r="O98" s="5" t="n">
        <v>10500</v>
      </c>
      <c r="P98" s="5" t="n">
        <v>5175</v>
      </c>
    </row>
    <row r="99" customFormat="false" ht="15" hidden="false" customHeight="false" outlineLevel="0" collapsed="false">
      <c r="A99" s="5" t="n">
        <v>98</v>
      </c>
      <c r="B99" s="5" t="n">
        <v>20260401</v>
      </c>
      <c r="C99" s="5" t="n">
        <v>2</v>
      </c>
      <c r="D99" s="5" t="n">
        <v>3</v>
      </c>
      <c r="E99" s="5" t="n">
        <v>19</v>
      </c>
      <c r="F99" s="5" t="n">
        <v>68</v>
      </c>
      <c r="G99" s="5" t="n">
        <v>5</v>
      </c>
      <c r="H99" s="5" t="n">
        <v>51</v>
      </c>
      <c r="I99" s="5" t="n">
        <v>67</v>
      </c>
      <c r="J99" s="5" t="n">
        <v>61429</v>
      </c>
      <c r="K99" s="5" t="n">
        <v>10132</v>
      </c>
      <c r="L99" s="5" t="n">
        <v>8940</v>
      </c>
      <c r="M99" s="5" t="n">
        <v>0</v>
      </c>
      <c r="N99" s="5" t="n">
        <v>24581</v>
      </c>
      <c r="O99" s="5" t="n">
        <v>7156</v>
      </c>
      <c r="P99" s="5" t="n">
        <v>3015</v>
      </c>
    </row>
    <row r="100" customFormat="false" ht="15" hidden="false" customHeight="false" outlineLevel="0" collapsed="false">
      <c r="A100" s="5" t="n">
        <v>99</v>
      </c>
      <c r="B100" s="5" t="n">
        <v>20260401</v>
      </c>
      <c r="C100" s="5" t="n">
        <v>3</v>
      </c>
      <c r="D100" s="5" t="n">
        <v>3</v>
      </c>
      <c r="E100" s="5" t="n">
        <v>12</v>
      </c>
      <c r="F100" s="5" t="n">
        <v>41</v>
      </c>
      <c r="G100" s="5" t="n">
        <v>3</v>
      </c>
      <c r="H100" s="5" t="n">
        <v>31</v>
      </c>
      <c r="I100" s="5" t="n">
        <v>40</v>
      </c>
      <c r="J100" s="5" t="n">
        <v>28787</v>
      </c>
      <c r="K100" s="5" t="n">
        <v>6109</v>
      </c>
      <c r="L100" s="5" t="n">
        <v>4917</v>
      </c>
      <c r="M100" s="5" t="n">
        <v>0</v>
      </c>
      <c r="N100" s="5" t="n">
        <v>11368</v>
      </c>
      <c r="O100" s="5" t="n">
        <v>3490</v>
      </c>
      <c r="P100" s="5" t="n">
        <v>1800</v>
      </c>
    </row>
    <row r="101" customFormat="false" ht="15" hidden="false" customHeight="false" outlineLevel="0" collapsed="false">
      <c r="A101" s="5" t="n">
        <v>100</v>
      </c>
      <c r="B101" s="5" t="n">
        <v>20260401</v>
      </c>
      <c r="C101" s="5" t="n">
        <v>1</v>
      </c>
      <c r="D101" s="5" t="n">
        <v>4</v>
      </c>
      <c r="E101" s="5" t="n">
        <v>25</v>
      </c>
      <c r="F101" s="5" t="n">
        <v>88</v>
      </c>
      <c r="G101" s="5" t="n">
        <v>7</v>
      </c>
      <c r="H101" s="5" t="n">
        <v>68</v>
      </c>
      <c r="I101" s="5" t="n">
        <v>84</v>
      </c>
      <c r="J101" s="5" t="n">
        <v>63839</v>
      </c>
      <c r="K101" s="5" t="n">
        <v>13112</v>
      </c>
      <c r="L101" s="5" t="n">
        <v>11074</v>
      </c>
      <c r="M101" s="5" t="n">
        <v>0</v>
      </c>
      <c r="N101" s="5" t="n">
        <v>26334</v>
      </c>
      <c r="O101" s="5" t="n">
        <v>4617</v>
      </c>
      <c r="P101" s="5" t="n">
        <v>3780</v>
      </c>
    </row>
    <row r="102" customFormat="false" ht="15" hidden="false" customHeight="false" outlineLevel="0" collapsed="false">
      <c r="A102" s="5" t="n">
        <v>101</v>
      </c>
      <c r="B102" s="5" t="n">
        <v>20260401</v>
      </c>
      <c r="C102" s="5" t="n">
        <v>2</v>
      </c>
      <c r="D102" s="5" t="n">
        <v>4</v>
      </c>
      <c r="E102" s="5" t="n">
        <v>15</v>
      </c>
      <c r="F102" s="5" t="n">
        <v>49</v>
      </c>
      <c r="G102" s="5" t="n">
        <v>4</v>
      </c>
      <c r="H102" s="5" t="n">
        <v>36</v>
      </c>
      <c r="I102" s="5" t="n">
        <v>48</v>
      </c>
      <c r="J102" s="5" t="n">
        <v>43350</v>
      </c>
      <c r="K102" s="5" t="n">
        <v>7301</v>
      </c>
      <c r="L102" s="5" t="n">
        <v>5443</v>
      </c>
      <c r="M102" s="5" t="n">
        <v>0</v>
      </c>
      <c r="N102" s="5" t="n">
        <v>16855</v>
      </c>
      <c r="O102" s="5" t="n">
        <v>3039</v>
      </c>
      <c r="P102" s="5" t="n">
        <v>2160</v>
      </c>
    </row>
    <row r="103" customFormat="false" ht="15" hidden="false" customHeight="false" outlineLevel="0" collapsed="false">
      <c r="A103" s="5" t="n">
        <v>102</v>
      </c>
      <c r="B103" s="5" t="n">
        <v>20260401</v>
      </c>
      <c r="C103" s="5" t="n">
        <v>3</v>
      </c>
      <c r="D103" s="5" t="n">
        <v>4</v>
      </c>
      <c r="E103" s="5" t="n">
        <v>10</v>
      </c>
      <c r="F103" s="5" t="n">
        <v>30</v>
      </c>
      <c r="G103" s="5" t="n">
        <v>2</v>
      </c>
      <c r="H103" s="5" t="n">
        <v>23</v>
      </c>
      <c r="I103" s="5" t="n">
        <v>29</v>
      </c>
      <c r="J103" s="5" t="n">
        <v>19714</v>
      </c>
      <c r="K103" s="5" t="n">
        <v>4470</v>
      </c>
      <c r="L103" s="5" t="n">
        <v>3388</v>
      </c>
      <c r="M103" s="5" t="n">
        <v>0</v>
      </c>
      <c r="N103" s="5" t="n">
        <v>7937</v>
      </c>
      <c r="O103" s="5" t="n">
        <v>1451</v>
      </c>
      <c r="P103" s="5" t="n">
        <v>1305</v>
      </c>
    </row>
    <row r="104" customFormat="false" ht="15" hidden="false" customHeight="false" outlineLevel="0" collapsed="false">
      <c r="A104" s="5" t="n">
        <v>103</v>
      </c>
      <c r="B104" s="5" t="n">
        <v>20260401</v>
      </c>
      <c r="C104" s="5" t="n">
        <v>1</v>
      </c>
      <c r="D104" s="5" t="n">
        <v>5</v>
      </c>
      <c r="E104" s="5" t="n">
        <v>14</v>
      </c>
      <c r="F104" s="5" t="n">
        <v>38</v>
      </c>
      <c r="G104" s="5" t="n">
        <v>3</v>
      </c>
      <c r="H104" s="5" t="n">
        <v>28</v>
      </c>
      <c r="I104" s="5" t="n">
        <v>37</v>
      </c>
      <c r="J104" s="5" t="n">
        <v>28044</v>
      </c>
      <c r="K104" s="5" t="n">
        <v>5662</v>
      </c>
      <c r="L104" s="5" t="n">
        <v>4618</v>
      </c>
      <c r="M104" s="5" t="n">
        <v>12950</v>
      </c>
      <c r="N104" s="5" t="n">
        <v>10715</v>
      </c>
      <c r="O104" s="5" t="n">
        <v>0</v>
      </c>
      <c r="P104" s="5" t="n">
        <v>740</v>
      </c>
    </row>
    <row r="105" customFormat="false" ht="15" hidden="false" customHeight="false" outlineLevel="0" collapsed="false">
      <c r="A105" s="5" t="n">
        <v>104</v>
      </c>
      <c r="B105" s="5" t="n">
        <v>20260401</v>
      </c>
      <c r="C105" s="5" t="n">
        <v>2</v>
      </c>
      <c r="D105" s="5" t="n">
        <v>5</v>
      </c>
      <c r="E105" s="5" t="n">
        <v>8</v>
      </c>
      <c r="F105" s="5" t="n">
        <v>22</v>
      </c>
      <c r="G105" s="5" t="n">
        <v>2</v>
      </c>
      <c r="H105" s="5" t="n">
        <v>16</v>
      </c>
      <c r="I105" s="5" t="n">
        <v>21</v>
      </c>
      <c r="J105" s="5" t="n">
        <v>20067</v>
      </c>
      <c r="K105" s="5" t="n">
        <v>3278</v>
      </c>
      <c r="L105" s="5" t="n">
        <v>2618</v>
      </c>
      <c r="M105" s="5" t="n">
        <v>7350</v>
      </c>
      <c r="N105" s="5" t="n">
        <v>7740</v>
      </c>
      <c r="O105" s="5" t="n">
        <v>0</v>
      </c>
      <c r="P105" s="5" t="n">
        <v>420</v>
      </c>
    </row>
    <row r="106" customFormat="false" ht="15" hidden="false" customHeight="false" outlineLevel="0" collapsed="false">
      <c r="A106" s="5" t="n">
        <v>105</v>
      </c>
      <c r="B106" s="5" t="n">
        <v>20260401</v>
      </c>
      <c r="C106" s="5" t="n">
        <v>3</v>
      </c>
      <c r="D106" s="5" t="n">
        <v>5</v>
      </c>
      <c r="E106" s="5" t="n">
        <v>5</v>
      </c>
      <c r="F106" s="5" t="n">
        <v>13</v>
      </c>
      <c r="G106" s="5" t="n">
        <v>1</v>
      </c>
      <c r="H106" s="5" t="n">
        <v>10</v>
      </c>
      <c r="I106" s="5" t="n">
        <v>13</v>
      </c>
      <c r="J106" s="5" t="n">
        <v>9257</v>
      </c>
      <c r="K106" s="5" t="n">
        <v>1937</v>
      </c>
      <c r="L106" s="5" t="n">
        <v>1431</v>
      </c>
      <c r="M106" s="5" t="n">
        <v>4550</v>
      </c>
      <c r="N106" s="5" t="n">
        <v>3820</v>
      </c>
      <c r="O106" s="5" t="n">
        <v>0</v>
      </c>
      <c r="P106" s="5" t="n">
        <v>260</v>
      </c>
    </row>
    <row r="107" customFormat="false" ht="15" hidden="false" customHeight="false" outlineLevel="0" collapsed="false">
      <c r="A107" s="5" t="n">
        <v>106</v>
      </c>
      <c r="B107" s="5" t="n">
        <v>20260501</v>
      </c>
      <c r="C107" s="5" t="n">
        <v>1</v>
      </c>
      <c r="D107" s="5" t="n">
        <v>1</v>
      </c>
      <c r="E107" s="5" t="n">
        <v>60</v>
      </c>
      <c r="F107" s="5" t="n">
        <v>217</v>
      </c>
      <c r="G107" s="5" t="n">
        <v>15</v>
      </c>
      <c r="H107" s="5" t="n">
        <v>178</v>
      </c>
      <c r="I107" s="5" t="n">
        <v>209</v>
      </c>
      <c r="J107" s="5" t="n">
        <v>159006</v>
      </c>
      <c r="K107" s="5" t="n">
        <v>32333</v>
      </c>
      <c r="L107" s="5" t="n">
        <v>23936</v>
      </c>
      <c r="M107" s="5" t="n">
        <v>0</v>
      </c>
      <c r="N107" s="5" t="n">
        <v>61032</v>
      </c>
      <c r="O107" s="5" t="n">
        <v>0</v>
      </c>
      <c r="P107" s="5" t="n">
        <v>9405</v>
      </c>
    </row>
    <row r="108" customFormat="false" ht="15" hidden="false" customHeight="false" outlineLevel="0" collapsed="false">
      <c r="A108" s="5" t="n">
        <v>107</v>
      </c>
      <c r="B108" s="5" t="n">
        <v>20260501</v>
      </c>
      <c r="C108" s="5" t="n">
        <v>2</v>
      </c>
      <c r="D108" s="5" t="n">
        <v>1</v>
      </c>
      <c r="E108" s="5" t="n">
        <v>34</v>
      </c>
      <c r="F108" s="5" t="n">
        <v>125</v>
      </c>
      <c r="G108" s="5" t="n">
        <v>8</v>
      </c>
      <c r="H108" s="5" t="n">
        <v>97</v>
      </c>
      <c r="I108" s="5" t="n">
        <v>123</v>
      </c>
      <c r="J108" s="5" t="n">
        <v>112025</v>
      </c>
      <c r="K108" s="5" t="n">
        <v>18625</v>
      </c>
      <c r="L108" s="5" t="n">
        <v>16425</v>
      </c>
      <c r="M108" s="5" t="n">
        <v>0</v>
      </c>
      <c r="N108" s="5" t="n">
        <v>47015</v>
      </c>
      <c r="O108" s="5" t="n">
        <v>0</v>
      </c>
      <c r="P108" s="5" t="n">
        <v>5535</v>
      </c>
    </row>
    <row r="109" customFormat="false" ht="15" hidden="false" customHeight="false" outlineLevel="0" collapsed="false">
      <c r="A109" s="5" t="n">
        <v>108</v>
      </c>
      <c r="B109" s="5" t="n">
        <v>20260501</v>
      </c>
      <c r="C109" s="5" t="n">
        <v>3</v>
      </c>
      <c r="D109" s="5" t="n">
        <v>1</v>
      </c>
      <c r="E109" s="5" t="n">
        <v>23</v>
      </c>
      <c r="F109" s="5" t="n">
        <v>80</v>
      </c>
      <c r="G109" s="5" t="n">
        <v>5</v>
      </c>
      <c r="H109" s="5" t="n">
        <v>59</v>
      </c>
      <c r="I109" s="5" t="n">
        <v>77</v>
      </c>
      <c r="J109" s="5" t="n">
        <v>51861</v>
      </c>
      <c r="K109" s="5" t="n">
        <v>11920</v>
      </c>
      <c r="L109" s="5" t="n">
        <v>9314</v>
      </c>
      <c r="M109" s="5" t="n">
        <v>0</v>
      </c>
      <c r="N109" s="5" t="n">
        <v>20934</v>
      </c>
      <c r="O109" s="5" t="n">
        <v>0</v>
      </c>
      <c r="P109" s="5" t="n">
        <v>3465</v>
      </c>
    </row>
    <row r="110" customFormat="false" ht="15" hidden="false" customHeight="false" outlineLevel="0" collapsed="false">
      <c r="A110" s="5" t="n">
        <v>109</v>
      </c>
      <c r="B110" s="5" t="n">
        <v>20260501</v>
      </c>
      <c r="C110" s="5" t="n">
        <v>1</v>
      </c>
      <c r="D110" s="5" t="n">
        <v>2</v>
      </c>
      <c r="E110" s="5" t="n">
        <v>55</v>
      </c>
      <c r="F110" s="5" t="n">
        <v>194</v>
      </c>
      <c r="G110" s="5" t="n">
        <v>14</v>
      </c>
      <c r="H110" s="5" t="n">
        <v>146</v>
      </c>
      <c r="I110" s="5" t="n">
        <v>187</v>
      </c>
      <c r="J110" s="5" t="n">
        <v>144589</v>
      </c>
      <c r="K110" s="5" t="n">
        <v>28906</v>
      </c>
      <c r="L110" s="5" t="n">
        <v>23195</v>
      </c>
      <c r="M110" s="5" t="n">
        <v>0</v>
      </c>
      <c r="N110" s="5" t="n">
        <v>59607</v>
      </c>
      <c r="O110" s="5" t="n">
        <v>4337</v>
      </c>
      <c r="P110" s="5" t="n">
        <v>8415</v>
      </c>
    </row>
    <row r="111" customFormat="false" ht="15" hidden="false" customHeight="false" outlineLevel="0" collapsed="false">
      <c r="A111" s="5" t="n">
        <v>110</v>
      </c>
      <c r="B111" s="5" t="n">
        <v>20260501</v>
      </c>
      <c r="C111" s="5" t="n">
        <v>2</v>
      </c>
      <c r="D111" s="5" t="n">
        <v>2</v>
      </c>
      <c r="E111" s="5" t="n">
        <v>33</v>
      </c>
      <c r="F111" s="5" t="n">
        <v>114</v>
      </c>
      <c r="G111" s="5" t="n">
        <v>8</v>
      </c>
      <c r="H111" s="5" t="n">
        <v>87</v>
      </c>
      <c r="I111" s="5" t="n">
        <v>111</v>
      </c>
      <c r="J111" s="5" t="n">
        <v>104359</v>
      </c>
      <c r="K111" s="5" t="n">
        <v>16986</v>
      </c>
      <c r="L111" s="5" t="n">
        <v>12993</v>
      </c>
      <c r="M111" s="5" t="n">
        <v>0</v>
      </c>
      <c r="N111" s="5" t="n">
        <v>42015</v>
      </c>
      <c r="O111" s="5" t="n">
        <v>3034</v>
      </c>
      <c r="P111" s="5" t="n">
        <v>4995</v>
      </c>
    </row>
    <row r="112" customFormat="false" ht="15" hidden="false" customHeight="false" outlineLevel="0" collapsed="false">
      <c r="A112" s="5" t="n">
        <v>111</v>
      </c>
      <c r="B112" s="5" t="n">
        <v>20260501</v>
      </c>
      <c r="C112" s="5" t="n">
        <v>3</v>
      </c>
      <c r="D112" s="5" t="n">
        <v>2</v>
      </c>
      <c r="E112" s="5" t="n">
        <v>19</v>
      </c>
      <c r="F112" s="5" t="n">
        <v>67</v>
      </c>
      <c r="G112" s="5" t="n">
        <v>5</v>
      </c>
      <c r="H112" s="5" t="n">
        <v>49</v>
      </c>
      <c r="I112" s="5" t="n">
        <v>66</v>
      </c>
      <c r="J112" s="5" t="n">
        <v>46173</v>
      </c>
      <c r="K112" s="5" t="n">
        <v>9983</v>
      </c>
      <c r="L112" s="5" t="n">
        <v>8192</v>
      </c>
      <c r="M112" s="5" t="n">
        <v>0</v>
      </c>
      <c r="N112" s="5" t="n">
        <v>18367</v>
      </c>
      <c r="O112" s="5" t="n">
        <v>1404</v>
      </c>
      <c r="P112" s="5" t="n">
        <v>2970</v>
      </c>
    </row>
    <row r="113" customFormat="false" ht="15" hidden="false" customHeight="false" outlineLevel="0" collapsed="false">
      <c r="A113" s="5" t="n">
        <v>112</v>
      </c>
      <c r="B113" s="5" t="n">
        <v>20260501</v>
      </c>
      <c r="C113" s="5" t="n">
        <v>1</v>
      </c>
      <c r="D113" s="5" t="n">
        <v>3</v>
      </c>
      <c r="E113" s="5" t="n">
        <v>39</v>
      </c>
      <c r="F113" s="5" t="n">
        <v>146</v>
      </c>
      <c r="G113" s="5" t="n">
        <v>10</v>
      </c>
      <c r="H113" s="5" t="n">
        <v>109</v>
      </c>
      <c r="I113" s="5" t="n">
        <v>141</v>
      </c>
      <c r="J113" s="5" t="n">
        <v>114152</v>
      </c>
      <c r="K113" s="5" t="n">
        <v>21754</v>
      </c>
      <c r="L113" s="5" t="n">
        <v>16595</v>
      </c>
      <c r="M113" s="5" t="n">
        <v>0</v>
      </c>
      <c r="N113" s="5" t="n">
        <v>47583</v>
      </c>
      <c r="O113" s="5" t="n">
        <v>13591</v>
      </c>
      <c r="P113" s="5" t="n">
        <v>6345</v>
      </c>
    </row>
    <row r="114" customFormat="false" ht="15" hidden="false" customHeight="false" outlineLevel="0" collapsed="false">
      <c r="A114" s="5" t="n">
        <v>113</v>
      </c>
      <c r="B114" s="5" t="n">
        <v>20260501</v>
      </c>
      <c r="C114" s="5" t="n">
        <v>2</v>
      </c>
      <c r="D114" s="5" t="n">
        <v>3</v>
      </c>
      <c r="E114" s="5" t="n">
        <v>22</v>
      </c>
      <c r="F114" s="5" t="n">
        <v>84</v>
      </c>
      <c r="G114" s="5" t="n">
        <v>6</v>
      </c>
      <c r="H114" s="5" t="n">
        <v>65</v>
      </c>
      <c r="I114" s="5" t="n">
        <v>80</v>
      </c>
      <c r="J114" s="5" t="n">
        <v>74557</v>
      </c>
      <c r="K114" s="5" t="n">
        <v>12516</v>
      </c>
      <c r="L114" s="5" t="n">
        <v>10455</v>
      </c>
      <c r="M114" s="5" t="n">
        <v>0</v>
      </c>
      <c r="N114" s="5" t="n">
        <v>29938</v>
      </c>
      <c r="O114" s="5" t="n">
        <v>8707</v>
      </c>
      <c r="P114" s="5" t="n">
        <v>3600</v>
      </c>
    </row>
    <row r="115" customFormat="false" ht="15" hidden="false" customHeight="false" outlineLevel="0" collapsed="false">
      <c r="A115" s="5" t="n">
        <v>114</v>
      </c>
      <c r="B115" s="5" t="n">
        <v>20260501</v>
      </c>
      <c r="C115" s="5" t="n">
        <v>3</v>
      </c>
      <c r="D115" s="5" t="n">
        <v>3</v>
      </c>
      <c r="E115" s="5" t="n">
        <v>13</v>
      </c>
      <c r="F115" s="5" t="n">
        <v>50</v>
      </c>
      <c r="G115" s="5" t="n">
        <v>4</v>
      </c>
      <c r="H115" s="5" t="n">
        <v>38</v>
      </c>
      <c r="I115" s="5" t="n">
        <v>48</v>
      </c>
      <c r="J115" s="5" t="n">
        <v>33290</v>
      </c>
      <c r="K115" s="5" t="n">
        <v>7450</v>
      </c>
      <c r="L115" s="5" t="n">
        <v>5811</v>
      </c>
      <c r="M115" s="5" t="n">
        <v>0</v>
      </c>
      <c r="N115" s="5" t="n">
        <v>13282</v>
      </c>
      <c r="O115" s="5" t="n">
        <v>4074</v>
      </c>
      <c r="P115" s="5" t="n">
        <v>2160</v>
      </c>
    </row>
    <row r="116" customFormat="false" ht="15" hidden="false" customHeight="false" outlineLevel="0" collapsed="false">
      <c r="A116" s="5" t="n">
        <v>115</v>
      </c>
      <c r="B116" s="5" t="n">
        <v>20260501</v>
      </c>
      <c r="C116" s="5" t="n">
        <v>1</v>
      </c>
      <c r="D116" s="5" t="n">
        <v>4</v>
      </c>
      <c r="E116" s="5" t="n">
        <v>33</v>
      </c>
      <c r="F116" s="5" t="n">
        <v>113</v>
      </c>
      <c r="G116" s="5" t="n">
        <v>8</v>
      </c>
      <c r="H116" s="5" t="n">
        <v>88</v>
      </c>
      <c r="I116" s="5" t="n">
        <v>110</v>
      </c>
      <c r="J116" s="5" t="n">
        <v>85624</v>
      </c>
      <c r="K116" s="5" t="n">
        <v>16837</v>
      </c>
      <c r="L116" s="5" t="n">
        <v>14613</v>
      </c>
      <c r="M116" s="5" t="n">
        <v>0</v>
      </c>
      <c r="N116" s="5" t="n">
        <v>35538</v>
      </c>
      <c r="O116" s="5" t="n">
        <v>6148</v>
      </c>
      <c r="P116" s="5" t="n">
        <v>4950</v>
      </c>
    </row>
    <row r="117" customFormat="false" ht="15" hidden="false" customHeight="false" outlineLevel="0" collapsed="false">
      <c r="A117" s="5" t="n">
        <v>116</v>
      </c>
      <c r="B117" s="5" t="n">
        <v>20260501</v>
      </c>
      <c r="C117" s="5" t="n">
        <v>2</v>
      </c>
      <c r="D117" s="5" t="n">
        <v>4</v>
      </c>
      <c r="E117" s="5" t="n">
        <v>17</v>
      </c>
      <c r="F117" s="5" t="n">
        <v>62</v>
      </c>
      <c r="G117" s="5" t="n">
        <v>4</v>
      </c>
      <c r="H117" s="5" t="n">
        <v>47</v>
      </c>
      <c r="I117" s="5" t="n">
        <v>60</v>
      </c>
      <c r="J117" s="5" t="n">
        <v>54280</v>
      </c>
      <c r="K117" s="5" t="n">
        <v>9238</v>
      </c>
      <c r="L117" s="5" t="n">
        <v>7359</v>
      </c>
      <c r="M117" s="5" t="n">
        <v>0</v>
      </c>
      <c r="N117" s="5" t="n">
        <v>20906</v>
      </c>
      <c r="O117" s="5" t="n">
        <v>3811</v>
      </c>
      <c r="P117" s="5" t="n">
        <v>2700</v>
      </c>
    </row>
    <row r="118" customFormat="false" ht="15" hidden="false" customHeight="false" outlineLevel="0" collapsed="false">
      <c r="A118" s="5" t="n">
        <v>117</v>
      </c>
      <c r="B118" s="5" t="n">
        <v>20260501</v>
      </c>
      <c r="C118" s="5" t="n">
        <v>3</v>
      </c>
      <c r="D118" s="5" t="n">
        <v>4</v>
      </c>
      <c r="E118" s="5" t="n">
        <v>10</v>
      </c>
      <c r="F118" s="5" t="n">
        <v>37</v>
      </c>
      <c r="G118" s="5" t="n">
        <v>3</v>
      </c>
      <c r="H118" s="5" t="n">
        <v>29</v>
      </c>
      <c r="I118" s="5" t="n">
        <v>35</v>
      </c>
      <c r="J118" s="5" t="n">
        <v>25476</v>
      </c>
      <c r="K118" s="5" t="n">
        <v>5513</v>
      </c>
      <c r="L118" s="5" t="n">
        <v>4836</v>
      </c>
      <c r="M118" s="5" t="n">
        <v>0</v>
      </c>
      <c r="N118" s="5" t="n">
        <v>10141</v>
      </c>
      <c r="O118" s="5" t="n">
        <v>1859</v>
      </c>
      <c r="P118" s="5" t="n">
        <v>1575</v>
      </c>
    </row>
    <row r="119" customFormat="false" ht="15" hidden="false" customHeight="false" outlineLevel="0" collapsed="false">
      <c r="A119" s="5" t="n">
        <v>118</v>
      </c>
      <c r="B119" s="5" t="n">
        <v>20260501</v>
      </c>
      <c r="C119" s="5" t="n">
        <v>1</v>
      </c>
      <c r="D119" s="5" t="n">
        <v>5</v>
      </c>
      <c r="E119" s="5" t="n">
        <v>16</v>
      </c>
      <c r="F119" s="5" t="n">
        <v>51</v>
      </c>
      <c r="G119" s="5" t="n">
        <v>3</v>
      </c>
      <c r="H119" s="5" t="n">
        <v>38</v>
      </c>
      <c r="I119" s="5" t="n">
        <v>49</v>
      </c>
      <c r="J119" s="5" t="n">
        <v>39408</v>
      </c>
      <c r="K119" s="5" t="n">
        <v>7599</v>
      </c>
      <c r="L119" s="5" t="n">
        <v>6269</v>
      </c>
      <c r="M119" s="5" t="n">
        <v>17150</v>
      </c>
      <c r="N119" s="5" t="n">
        <v>15485</v>
      </c>
      <c r="O119" s="5" t="n">
        <v>0</v>
      </c>
      <c r="P119" s="5" t="n">
        <v>980</v>
      </c>
    </row>
    <row r="120" customFormat="false" ht="15" hidden="false" customHeight="false" outlineLevel="0" collapsed="false">
      <c r="A120" s="5" t="n">
        <v>119</v>
      </c>
      <c r="B120" s="5" t="n">
        <v>20260501</v>
      </c>
      <c r="C120" s="5" t="n">
        <v>2</v>
      </c>
      <c r="D120" s="5" t="n">
        <v>5</v>
      </c>
      <c r="E120" s="5" t="n">
        <v>10</v>
      </c>
      <c r="F120" s="5" t="n">
        <v>30</v>
      </c>
      <c r="G120" s="5" t="n">
        <v>2</v>
      </c>
      <c r="H120" s="5" t="n">
        <v>23</v>
      </c>
      <c r="I120" s="5" t="n">
        <v>29</v>
      </c>
      <c r="J120" s="5" t="n">
        <v>27711</v>
      </c>
      <c r="K120" s="5" t="n">
        <v>4470</v>
      </c>
      <c r="L120" s="5" t="n">
        <v>3556</v>
      </c>
      <c r="M120" s="5" t="n">
        <v>10150</v>
      </c>
      <c r="N120" s="5" t="n">
        <v>11116</v>
      </c>
      <c r="O120" s="5" t="n">
        <v>0</v>
      </c>
      <c r="P120" s="5" t="n">
        <v>580</v>
      </c>
    </row>
    <row r="121" customFormat="false" ht="15" hidden="false" customHeight="false" outlineLevel="0" collapsed="false">
      <c r="A121" s="5" t="n">
        <v>120</v>
      </c>
      <c r="B121" s="5" t="n">
        <v>20260501</v>
      </c>
      <c r="C121" s="5" t="n">
        <v>3</v>
      </c>
      <c r="D121" s="5" t="n">
        <v>5</v>
      </c>
      <c r="E121" s="5" t="n">
        <v>5</v>
      </c>
      <c r="F121" s="5" t="n">
        <v>17</v>
      </c>
      <c r="G121" s="5" t="n">
        <v>1</v>
      </c>
      <c r="H121" s="5" t="n">
        <v>13</v>
      </c>
      <c r="I121" s="5" t="n">
        <v>17</v>
      </c>
      <c r="J121" s="5" t="n">
        <v>11995</v>
      </c>
      <c r="K121" s="5" t="n">
        <v>2533</v>
      </c>
      <c r="L121" s="5" t="n">
        <v>2168</v>
      </c>
      <c r="M121" s="5" t="n">
        <v>5950</v>
      </c>
      <c r="N121" s="5" t="n">
        <v>5031</v>
      </c>
      <c r="O121" s="5" t="n">
        <v>0</v>
      </c>
      <c r="P121" s="5" t="n">
        <v>340</v>
      </c>
    </row>
    <row r="122" customFormat="false" ht="15" hidden="false" customHeight="false" outlineLevel="0" collapsed="false">
      <c r="A122" s="5" t="n">
        <v>121</v>
      </c>
      <c r="B122" s="5" t="n">
        <v>20260601</v>
      </c>
      <c r="C122" s="5" t="n">
        <v>1</v>
      </c>
      <c r="D122" s="5" t="n">
        <v>1</v>
      </c>
      <c r="E122" s="5" t="n">
        <v>63</v>
      </c>
      <c r="F122" s="5" t="n">
        <v>262</v>
      </c>
      <c r="G122" s="5" t="n">
        <v>18</v>
      </c>
      <c r="H122" s="5" t="n">
        <v>194</v>
      </c>
      <c r="I122" s="5" t="n">
        <v>257</v>
      </c>
      <c r="J122" s="5" t="n">
        <v>193780</v>
      </c>
      <c r="K122" s="5" t="n">
        <v>39038</v>
      </c>
      <c r="L122" s="5" t="n">
        <v>30347</v>
      </c>
      <c r="M122" s="5" t="n">
        <v>0</v>
      </c>
      <c r="N122" s="5" t="n">
        <v>79578</v>
      </c>
      <c r="O122" s="5" t="n">
        <v>0</v>
      </c>
      <c r="P122" s="5" t="n">
        <v>11565</v>
      </c>
    </row>
    <row r="123" customFormat="false" ht="15" hidden="false" customHeight="false" outlineLevel="0" collapsed="false">
      <c r="A123" s="5" t="n">
        <v>122</v>
      </c>
      <c r="B123" s="5" t="n">
        <v>20260601</v>
      </c>
      <c r="C123" s="5" t="n">
        <v>2</v>
      </c>
      <c r="D123" s="5" t="n">
        <v>1</v>
      </c>
      <c r="E123" s="5" t="n">
        <v>43</v>
      </c>
      <c r="F123" s="5" t="n">
        <v>158</v>
      </c>
      <c r="G123" s="5" t="n">
        <v>10</v>
      </c>
      <c r="H123" s="5" t="n">
        <v>131</v>
      </c>
      <c r="I123" s="5" t="n">
        <v>153</v>
      </c>
      <c r="J123" s="5" t="n">
        <v>141644</v>
      </c>
      <c r="K123" s="5" t="n">
        <v>23542</v>
      </c>
      <c r="L123" s="5" t="n">
        <v>19707</v>
      </c>
      <c r="M123" s="5" t="n">
        <v>0</v>
      </c>
      <c r="N123" s="5" t="n">
        <v>57630</v>
      </c>
      <c r="O123" s="5" t="n">
        <v>0</v>
      </c>
      <c r="P123" s="5" t="n">
        <v>6885</v>
      </c>
    </row>
    <row r="124" customFormat="false" ht="15" hidden="false" customHeight="false" outlineLevel="0" collapsed="false">
      <c r="A124" s="5" t="n">
        <v>123</v>
      </c>
      <c r="B124" s="5" t="n">
        <v>20260601</v>
      </c>
      <c r="C124" s="5" t="n">
        <v>3</v>
      </c>
      <c r="D124" s="5" t="n">
        <v>1</v>
      </c>
      <c r="E124" s="5" t="n">
        <v>26</v>
      </c>
      <c r="F124" s="5" t="n">
        <v>100</v>
      </c>
      <c r="G124" s="5" t="n">
        <v>6</v>
      </c>
      <c r="H124" s="5" t="n">
        <v>80</v>
      </c>
      <c r="I124" s="5" t="n">
        <v>96</v>
      </c>
      <c r="J124" s="5" t="n">
        <v>68974</v>
      </c>
      <c r="K124" s="5" t="n">
        <v>14900</v>
      </c>
      <c r="L124" s="5" t="n">
        <v>12640</v>
      </c>
      <c r="M124" s="5" t="n">
        <v>0</v>
      </c>
      <c r="N124" s="5" t="n">
        <v>26650</v>
      </c>
      <c r="O124" s="5" t="n">
        <v>0</v>
      </c>
      <c r="P124" s="5" t="n">
        <v>4320</v>
      </c>
    </row>
    <row r="125" customFormat="false" ht="15" hidden="false" customHeight="false" outlineLevel="0" collapsed="false">
      <c r="A125" s="5" t="n">
        <v>124</v>
      </c>
      <c r="B125" s="5" t="n">
        <v>20260601</v>
      </c>
      <c r="C125" s="5" t="n">
        <v>1</v>
      </c>
      <c r="D125" s="5" t="n">
        <v>2</v>
      </c>
      <c r="E125" s="5" t="n">
        <v>67</v>
      </c>
      <c r="F125" s="5" t="n">
        <v>244</v>
      </c>
      <c r="G125" s="5" t="n">
        <v>17</v>
      </c>
      <c r="H125" s="5" t="n">
        <v>209</v>
      </c>
      <c r="I125" s="5" t="n">
        <v>237</v>
      </c>
      <c r="J125" s="5" t="n">
        <v>189505</v>
      </c>
      <c r="K125" s="5" t="n">
        <v>36356</v>
      </c>
      <c r="L125" s="5" t="n">
        <v>31480</v>
      </c>
      <c r="M125" s="5" t="n">
        <v>0</v>
      </c>
      <c r="N125" s="5" t="n">
        <v>72550</v>
      </c>
      <c r="O125" s="5" t="n">
        <v>5647</v>
      </c>
      <c r="P125" s="5" t="n">
        <v>10665</v>
      </c>
    </row>
    <row r="126" customFormat="false" ht="15" hidden="false" customHeight="false" outlineLevel="0" collapsed="false">
      <c r="A126" s="5" t="n">
        <v>125</v>
      </c>
      <c r="B126" s="5" t="n">
        <v>20260601</v>
      </c>
      <c r="C126" s="5" t="n">
        <v>2</v>
      </c>
      <c r="D126" s="5" t="n">
        <v>2</v>
      </c>
      <c r="E126" s="5" t="n">
        <v>33</v>
      </c>
      <c r="F126" s="5" t="n">
        <v>137</v>
      </c>
      <c r="G126" s="5" t="n">
        <v>10</v>
      </c>
      <c r="H126" s="5" t="n">
        <v>102</v>
      </c>
      <c r="I126" s="5" t="n">
        <v>135</v>
      </c>
      <c r="J126" s="5" t="n">
        <v>124797</v>
      </c>
      <c r="K126" s="5" t="n">
        <v>20413</v>
      </c>
      <c r="L126" s="5" t="n">
        <v>17087</v>
      </c>
      <c r="M126" s="5" t="n">
        <v>0</v>
      </c>
      <c r="N126" s="5" t="n">
        <v>50533</v>
      </c>
      <c r="O126" s="5" t="n">
        <v>3630</v>
      </c>
      <c r="P126" s="5" t="n">
        <v>6075</v>
      </c>
    </row>
    <row r="127" customFormat="false" ht="15" hidden="false" customHeight="false" outlineLevel="0" collapsed="false">
      <c r="A127" s="5" t="n">
        <v>126</v>
      </c>
      <c r="B127" s="5" t="n">
        <v>20260601</v>
      </c>
      <c r="C127" s="5" t="n">
        <v>3</v>
      </c>
      <c r="D127" s="5" t="n">
        <v>2</v>
      </c>
      <c r="E127" s="5" t="n">
        <v>21</v>
      </c>
      <c r="F127" s="5" t="n">
        <v>82</v>
      </c>
      <c r="G127" s="5" t="n">
        <v>6</v>
      </c>
      <c r="H127" s="5" t="n">
        <v>64</v>
      </c>
      <c r="I127" s="5" t="n">
        <v>81</v>
      </c>
      <c r="J127" s="5" t="n">
        <v>56301</v>
      </c>
      <c r="K127" s="5" t="n">
        <v>12218</v>
      </c>
      <c r="L127" s="5" t="n">
        <v>10271</v>
      </c>
      <c r="M127" s="5" t="n">
        <v>0</v>
      </c>
      <c r="N127" s="5" t="n">
        <v>22922</v>
      </c>
      <c r="O127" s="5" t="n">
        <v>1713</v>
      </c>
      <c r="P127" s="5" t="n">
        <v>3645</v>
      </c>
    </row>
    <row r="128" customFormat="false" ht="15" hidden="false" customHeight="false" outlineLevel="0" collapsed="false">
      <c r="A128" s="5" t="n">
        <v>127</v>
      </c>
      <c r="B128" s="5" t="n">
        <v>20260601</v>
      </c>
      <c r="C128" s="5" t="n">
        <v>1</v>
      </c>
      <c r="D128" s="5" t="n">
        <v>3</v>
      </c>
      <c r="E128" s="5" t="n">
        <v>49</v>
      </c>
      <c r="F128" s="5" t="n">
        <v>182</v>
      </c>
      <c r="G128" s="5" t="n">
        <v>13</v>
      </c>
      <c r="H128" s="5" t="n">
        <v>140</v>
      </c>
      <c r="I128" s="5" t="n">
        <v>180</v>
      </c>
      <c r="J128" s="5" t="n">
        <v>135913</v>
      </c>
      <c r="K128" s="5" t="n">
        <v>27118</v>
      </c>
      <c r="L128" s="5" t="n">
        <v>22066</v>
      </c>
      <c r="M128" s="5" t="n">
        <v>0</v>
      </c>
      <c r="N128" s="5" t="n">
        <v>54708</v>
      </c>
      <c r="O128" s="5" t="n">
        <v>16303</v>
      </c>
      <c r="P128" s="5" t="n">
        <v>8100</v>
      </c>
    </row>
    <row r="129" customFormat="false" ht="15" hidden="false" customHeight="false" outlineLevel="0" collapsed="false">
      <c r="A129" s="5" t="n">
        <v>128</v>
      </c>
      <c r="B129" s="5" t="n">
        <v>20260601</v>
      </c>
      <c r="C129" s="5" t="n">
        <v>2</v>
      </c>
      <c r="D129" s="5" t="n">
        <v>3</v>
      </c>
      <c r="E129" s="5" t="n">
        <v>25</v>
      </c>
      <c r="F129" s="5" t="n">
        <v>102</v>
      </c>
      <c r="G129" s="5" t="n">
        <v>7</v>
      </c>
      <c r="H129" s="5" t="n">
        <v>76</v>
      </c>
      <c r="I129" s="5" t="n">
        <v>101</v>
      </c>
      <c r="J129" s="5" t="n">
        <v>91031</v>
      </c>
      <c r="K129" s="5" t="n">
        <v>15198</v>
      </c>
      <c r="L129" s="5" t="n">
        <v>12055</v>
      </c>
      <c r="M129" s="5" t="n">
        <v>0</v>
      </c>
      <c r="N129" s="5" t="n">
        <v>37123</v>
      </c>
      <c r="O129" s="5" t="n">
        <v>10623</v>
      </c>
      <c r="P129" s="5" t="n">
        <v>4545</v>
      </c>
    </row>
    <row r="130" customFormat="false" ht="15" hidden="false" customHeight="false" outlineLevel="0" collapsed="false">
      <c r="A130" s="5" t="n">
        <v>129</v>
      </c>
      <c r="B130" s="5" t="n">
        <v>20260601</v>
      </c>
      <c r="C130" s="5" t="n">
        <v>3</v>
      </c>
      <c r="D130" s="5" t="n">
        <v>3</v>
      </c>
      <c r="E130" s="5" t="n">
        <v>14</v>
      </c>
      <c r="F130" s="5" t="n">
        <v>60</v>
      </c>
      <c r="G130" s="5" t="n">
        <v>4</v>
      </c>
      <c r="H130" s="5" t="n">
        <v>45</v>
      </c>
      <c r="I130" s="5" t="n">
        <v>59</v>
      </c>
      <c r="J130" s="5" t="n">
        <v>40231</v>
      </c>
      <c r="K130" s="5" t="n">
        <v>8940</v>
      </c>
      <c r="L130" s="5" t="n">
        <v>7622</v>
      </c>
      <c r="M130" s="5" t="n">
        <v>0</v>
      </c>
      <c r="N130" s="5" t="n">
        <v>15576</v>
      </c>
      <c r="O130" s="5" t="n">
        <v>4917</v>
      </c>
      <c r="P130" s="5" t="n">
        <v>2655</v>
      </c>
    </row>
    <row r="131" customFormat="false" ht="15" hidden="false" customHeight="false" outlineLevel="0" collapsed="false">
      <c r="A131" s="5" t="n">
        <v>130</v>
      </c>
      <c r="B131" s="5" t="n">
        <v>20260601</v>
      </c>
      <c r="C131" s="5" t="n">
        <v>1</v>
      </c>
      <c r="D131" s="5" t="n">
        <v>4</v>
      </c>
      <c r="E131" s="5" t="n">
        <v>36</v>
      </c>
      <c r="F131" s="5" t="n">
        <v>140</v>
      </c>
      <c r="G131" s="5" t="n">
        <v>9</v>
      </c>
      <c r="H131" s="5" t="n">
        <v>112</v>
      </c>
      <c r="I131" s="5" t="n">
        <v>133</v>
      </c>
      <c r="J131" s="5" t="n">
        <v>100943</v>
      </c>
      <c r="K131" s="5" t="n">
        <v>20860</v>
      </c>
      <c r="L131" s="5" t="n">
        <v>18064</v>
      </c>
      <c r="M131" s="5" t="n">
        <v>0</v>
      </c>
      <c r="N131" s="5" t="n">
        <v>41948</v>
      </c>
      <c r="O131" s="5" t="n">
        <v>7308</v>
      </c>
      <c r="P131" s="5" t="n">
        <v>5985</v>
      </c>
    </row>
    <row r="132" customFormat="false" ht="15" hidden="false" customHeight="false" outlineLevel="0" collapsed="false">
      <c r="A132" s="5" t="n">
        <v>131</v>
      </c>
      <c r="B132" s="5" t="n">
        <v>20260601</v>
      </c>
      <c r="C132" s="5" t="n">
        <v>2</v>
      </c>
      <c r="D132" s="5" t="n">
        <v>4</v>
      </c>
      <c r="E132" s="5" t="n">
        <v>21</v>
      </c>
      <c r="F132" s="5" t="n">
        <v>77</v>
      </c>
      <c r="G132" s="5" t="n">
        <v>6</v>
      </c>
      <c r="H132" s="5" t="n">
        <v>59</v>
      </c>
      <c r="I132" s="5" t="n">
        <v>74</v>
      </c>
      <c r="J132" s="5" t="n">
        <v>70668</v>
      </c>
      <c r="K132" s="5" t="n">
        <v>11473</v>
      </c>
      <c r="L132" s="5" t="n">
        <v>9849</v>
      </c>
      <c r="M132" s="5" t="n">
        <v>0</v>
      </c>
      <c r="N132" s="5" t="n">
        <v>28852</v>
      </c>
      <c r="O132" s="5" t="n">
        <v>4928</v>
      </c>
      <c r="P132" s="5" t="n">
        <v>3330</v>
      </c>
    </row>
    <row r="133" customFormat="false" ht="15" hidden="false" customHeight="false" outlineLevel="0" collapsed="false">
      <c r="A133" s="5" t="n">
        <v>132</v>
      </c>
      <c r="B133" s="5" t="n">
        <v>20260601</v>
      </c>
      <c r="C133" s="5" t="n">
        <v>3</v>
      </c>
      <c r="D133" s="5" t="n">
        <v>4</v>
      </c>
      <c r="E133" s="5" t="n">
        <v>12</v>
      </c>
      <c r="F133" s="5" t="n">
        <v>46</v>
      </c>
      <c r="G133" s="5" t="n">
        <v>3</v>
      </c>
      <c r="H133" s="5" t="n">
        <v>36</v>
      </c>
      <c r="I133" s="5" t="n">
        <v>45</v>
      </c>
      <c r="J133" s="5" t="n">
        <v>31313</v>
      </c>
      <c r="K133" s="5" t="n">
        <v>6854</v>
      </c>
      <c r="L133" s="5" t="n">
        <v>5865</v>
      </c>
      <c r="M133" s="5" t="n">
        <v>0</v>
      </c>
      <c r="N133" s="5" t="n">
        <v>13022</v>
      </c>
      <c r="O133" s="5" t="n">
        <v>2290</v>
      </c>
      <c r="P133" s="5" t="n">
        <v>2025</v>
      </c>
    </row>
    <row r="134" customFormat="false" ht="15" hidden="false" customHeight="false" outlineLevel="0" collapsed="false">
      <c r="A134" s="5" t="n">
        <v>133</v>
      </c>
      <c r="B134" s="5" t="n">
        <v>20260601</v>
      </c>
      <c r="C134" s="5" t="n">
        <v>1</v>
      </c>
      <c r="D134" s="5" t="n">
        <v>5</v>
      </c>
      <c r="E134" s="5" t="n">
        <v>20</v>
      </c>
      <c r="F134" s="5" t="n">
        <v>67</v>
      </c>
      <c r="G134" s="5" t="n">
        <v>4</v>
      </c>
      <c r="H134" s="5" t="n">
        <v>52</v>
      </c>
      <c r="I134" s="5" t="n">
        <v>64</v>
      </c>
      <c r="J134" s="5" t="n">
        <v>48295</v>
      </c>
      <c r="K134" s="5" t="n">
        <v>9983</v>
      </c>
      <c r="L134" s="5" t="n">
        <v>7693</v>
      </c>
      <c r="M134" s="5" t="n">
        <v>22400</v>
      </c>
      <c r="N134" s="5" t="n">
        <v>18626</v>
      </c>
      <c r="O134" s="5" t="n">
        <v>0</v>
      </c>
      <c r="P134" s="5" t="n">
        <v>1280</v>
      </c>
    </row>
    <row r="135" customFormat="false" ht="15" hidden="false" customHeight="false" outlineLevel="0" collapsed="false">
      <c r="A135" s="5" t="n">
        <v>134</v>
      </c>
      <c r="B135" s="5" t="n">
        <v>20260601</v>
      </c>
      <c r="C135" s="5" t="n">
        <v>2</v>
      </c>
      <c r="D135" s="5" t="n">
        <v>5</v>
      </c>
      <c r="E135" s="5" t="n">
        <v>10</v>
      </c>
      <c r="F135" s="5" t="n">
        <v>38</v>
      </c>
      <c r="G135" s="5" t="n">
        <v>2</v>
      </c>
      <c r="H135" s="5" t="n">
        <v>29</v>
      </c>
      <c r="I135" s="5" t="n">
        <v>37</v>
      </c>
      <c r="J135" s="5" t="n">
        <v>33292</v>
      </c>
      <c r="K135" s="5" t="n">
        <v>5662</v>
      </c>
      <c r="L135" s="5" t="n">
        <v>4527</v>
      </c>
      <c r="M135" s="5" t="n">
        <v>12950</v>
      </c>
      <c r="N135" s="5" t="n">
        <v>13333</v>
      </c>
      <c r="O135" s="5" t="n">
        <v>0</v>
      </c>
      <c r="P135" s="5" t="n">
        <v>740</v>
      </c>
    </row>
    <row r="136" customFormat="false" ht="15" hidden="false" customHeight="false" outlineLevel="0" collapsed="false">
      <c r="A136" s="5" t="n">
        <v>135</v>
      </c>
      <c r="B136" s="5" t="n">
        <v>20260601</v>
      </c>
      <c r="C136" s="5" t="n">
        <v>3</v>
      </c>
      <c r="D136" s="5" t="n">
        <v>5</v>
      </c>
      <c r="E136" s="5" t="n">
        <v>6</v>
      </c>
      <c r="F136" s="5" t="n">
        <v>21</v>
      </c>
      <c r="G136" s="5" t="n">
        <v>2</v>
      </c>
      <c r="H136" s="5" t="n">
        <v>16</v>
      </c>
      <c r="I136" s="5" t="n">
        <v>20</v>
      </c>
      <c r="J136" s="5" t="n">
        <v>13799</v>
      </c>
      <c r="K136" s="5" t="n">
        <v>3129</v>
      </c>
      <c r="L136" s="5" t="n">
        <v>2596</v>
      </c>
      <c r="M136" s="5" t="n">
        <v>7000</v>
      </c>
      <c r="N136" s="5" t="n">
        <v>5618</v>
      </c>
      <c r="O136" s="5" t="n">
        <v>0</v>
      </c>
      <c r="P136" s="5" t="n">
        <v>400</v>
      </c>
    </row>
    <row r="137" customFormat="false" ht="15" hidden="false" customHeight="false" outlineLevel="0" collapsed="false">
      <c r="A137" s="5" t="n">
        <v>136</v>
      </c>
      <c r="B137" s="5" t="n">
        <v>20260701</v>
      </c>
      <c r="C137" s="5" t="n">
        <v>1</v>
      </c>
      <c r="D137" s="5" t="n">
        <v>1</v>
      </c>
      <c r="E137" s="5" t="n">
        <v>81</v>
      </c>
      <c r="F137" s="5" t="n">
        <v>321</v>
      </c>
      <c r="G137" s="5" t="n">
        <v>22</v>
      </c>
      <c r="H137" s="5" t="n">
        <v>249</v>
      </c>
      <c r="I137" s="5" t="n">
        <v>312</v>
      </c>
      <c r="J137" s="5" t="n">
        <v>235461</v>
      </c>
      <c r="K137" s="5" t="n">
        <v>47829</v>
      </c>
      <c r="L137" s="5" t="n">
        <v>35273</v>
      </c>
      <c r="M137" s="5" t="n">
        <v>0</v>
      </c>
      <c r="N137" s="5" t="n">
        <v>92940</v>
      </c>
      <c r="O137" s="5" t="n">
        <v>0</v>
      </c>
      <c r="P137" s="5" t="n">
        <v>14040</v>
      </c>
    </row>
    <row r="138" customFormat="false" ht="15" hidden="false" customHeight="false" outlineLevel="0" collapsed="false">
      <c r="A138" s="5" t="n">
        <v>137</v>
      </c>
      <c r="B138" s="5" t="n">
        <v>20260701</v>
      </c>
      <c r="C138" s="5" t="n">
        <v>2</v>
      </c>
      <c r="D138" s="5" t="n">
        <v>1</v>
      </c>
      <c r="E138" s="5" t="n">
        <v>43</v>
      </c>
      <c r="F138" s="5" t="n">
        <v>188</v>
      </c>
      <c r="G138" s="5" t="n">
        <v>13</v>
      </c>
      <c r="H138" s="5" t="n">
        <v>147</v>
      </c>
      <c r="I138" s="5" t="n">
        <v>186</v>
      </c>
      <c r="J138" s="5" t="n">
        <v>176242</v>
      </c>
      <c r="K138" s="5" t="n">
        <v>28012</v>
      </c>
      <c r="L138" s="5" t="n">
        <v>20903</v>
      </c>
      <c r="M138" s="5" t="n">
        <v>0</v>
      </c>
      <c r="N138" s="5" t="n">
        <v>68763</v>
      </c>
      <c r="O138" s="5" t="n">
        <v>0</v>
      </c>
      <c r="P138" s="5" t="n">
        <v>8370</v>
      </c>
    </row>
    <row r="139" customFormat="false" ht="15" hidden="false" customHeight="false" outlineLevel="0" collapsed="false">
      <c r="A139" s="5" t="n">
        <v>138</v>
      </c>
      <c r="B139" s="5" t="n">
        <v>20260701</v>
      </c>
      <c r="C139" s="5" t="n">
        <v>3</v>
      </c>
      <c r="D139" s="5" t="n">
        <v>1</v>
      </c>
      <c r="E139" s="5" t="n">
        <v>25</v>
      </c>
      <c r="F139" s="5" t="n">
        <v>117</v>
      </c>
      <c r="G139" s="5" t="n">
        <v>8</v>
      </c>
      <c r="H139" s="5" t="n">
        <v>92</v>
      </c>
      <c r="I139" s="5" t="n">
        <v>113</v>
      </c>
      <c r="J139" s="5" t="n">
        <v>77999</v>
      </c>
      <c r="K139" s="5" t="n">
        <v>17433</v>
      </c>
      <c r="L139" s="5" t="n">
        <v>15293</v>
      </c>
      <c r="M139" s="5" t="n">
        <v>0</v>
      </c>
      <c r="N139" s="5" t="n">
        <v>31012</v>
      </c>
      <c r="O139" s="5" t="n">
        <v>0</v>
      </c>
      <c r="P139" s="5" t="n">
        <v>5085</v>
      </c>
    </row>
    <row r="140" customFormat="false" ht="15" hidden="false" customHeight="false" outlineLevel="0" collapsed="false">
      <c r="A140" s="5" t="n">
        <v>139</v>
      </c>
      <c r="B140" s="5" t="n">
        <v>20260701</v>
      </c>
      <c r="C140" s="5" t="n">
        <v>1</v>
      </c>
      <c r="D140" s="5" t="n">
        <v>2</v>
      </c>
      <c r="E140" s="5" t="n">
        <v>73</v>
      </c>
      <c r="F140" s="5" t="n">
        <v>296</v>
      </c>
      <c r="G140" s="5" t="n">
        <v>21</v>
      </c>
      <c r="H140" s="5" t="n">
        <v>249</v>
      </c>
      <c r="I140" s="5" t="n">
        <v>285</v>
      </c>
      <c r="J140" s="5" t="n">
        <v>228264</v>
      </c>
      <c r="K140" s="5" t="n">
        <v>44104</v>
      </c>
      <c r="L140" s="5" t="n">
        <v>32675</v>
      </c>
      <c r="M140" s="5" t="n">
        <v>0</v>
      </c>
      <c r="N140" s="5" t="n">
        <v>86791</v>
      </c>
      <c r="O140" s="5" t="n">
        <v>6809</v>
      </c>
      <c r="P140" s="5" t="n">
        <v>12825</v>
      </c>
    </row>
    <row r="141" customFormat="false" ht="15" hidden="false" customHeight="false" outlineLevel="0" collapsed="false">
      <c r="A141" s="5" t="n">
        <v>140</v>
      </c>
      <c r="B141" s="5" t="n">
        <v>20260701</v>
      </c>
      <c r="C141" s="5" t="n">
        <v>2</v>
      </c>
      <c r="D141" s="5" t="n">
        <v>2</v>
      </c>
      <c r="E141" s="5" t="n">
        <v>38</v>
      </c>
      <c r="F141" s="5" t="n">
        <v>164</v>
      </c>
      <c r="G141" s="5" t="n">
        <v>11</v>
      </c>
      <c r="H141" s="5" t="n">
        <v>140</v>
      </c>
      <c r="I141" s="5" t="n">
        <v>160</v>
      </c>
      <c r="J141" s="5" t="n">
        <v>150285</v>
      </c>
      <c r="K141" s="5" t="n">
        <v>24436</v>
      </c>
      <c r="L141" s="5" t="n">
        <v>20345</v>
      </c>
      <c r="M141" s="5" t="n">
        <v>0</v>
      </c>
      <c r="N141" s="5" t="n">
        <v>61035</v>
      </c>
      <c r="O141" s="5" t="n">
        <v>4368</v>
      </c>
      <c r="P141" s="5" t="n">
        <v>7200</v>
      </c>
    </row>
    <row r="142" customFormat="false" ht="15" hidden="false" customHeight="false" outlineLevel="0" collapsed="false">
      <c r="A142" s="5" t="n">
        <v>141</v>
      </c>
      <c r="B142" s="5" t="n">
        <v>20260701</v>
      </c>
      <c r="C142" s="5" t="n">
        <v>3</v>
      </c>
      <c r="D142" s="5" t="n">
        <v>2</v>
      </c>
      <c r="E142" s="5" t="n">
        <v>23</v>
      </c>
      <c r="F142" s="5" t="n">
        <v>98</v>
      </c>
      <c r="G142" s="5" t="n">
        <v>7</v>
      </c>
      <c r="H142" s="5" t="n">
        <v>78</v>
      </c>
      <c r="I142" s="5" t="n">
        <v>95</v>
      </c>
      <c r="J142" s="5" t="n">
        <v>68916</v>
      </c>
      <c r="K142" s="5" t="n">
        <v>14602</v>
      </c>
      <c r="L142" s="5" t="n">
        <v>12712</v>
      </c>
      <c r="M142" s="5" t="n">
        <v>0</v>
      </c>
      <c r="N142" s="5" t="n">
        <v>26219</v>
      </c>
      <c r="O142" s="5" t="n">
        <v>2088</v>
      </c>
      <c r="P142" s="5" t="n">
        <v>4275</v>
      </c>
    </row>
    <row r="143" customFormat="false" ht="15" hidden="false" customHeight="false" outlineLevel="0" collapsed="false">
      <c r="A143" s="5" t="n">
        <v>142</v>
      </c>
      <c r="B143" s="5" t="n">
        <v>20260701</v>
      </c>
      <c r="C143" s="5" t="n">
        <v>1</v>
      </c>
      <c r="D143" s="5" t="n">
        <v>3</v>
      </c>
      <c r="E143" s="5" t="n">
        <v>47</v>
      </c>
      <c r="F143" s="5" t="n">
        <v>214</v>
      </c>
      <c r="G143" s="5" t="n">
        <v>15</v>
      </c>
      <c r="H143" s="5" t="n">
        <v>173</v>
      </c>
      <c r="I143" s="5" t="n">
        <v>206</v>
      </c>
      <c r="J143" s="5" t="n">
        <v>157409</v>
      </c>
      <c r="K143" s="5" t="n">
        <v>31886</v>
      </c>
      <c r="L143" s="5" t="n">
        <v>26844</v>
      </c>
      <c r="M143" s="5" t="n">
        <v>0</v>
      </c>
      <c r="N143" s="5" t="n">
        <v>65399</v>
      </c>
      <c r="O143" s="5" t="n">
        <v>18930</v>
      </c>
      <c r="P143" s="5" t="n">
        <v>9270</v>
      </c>
    </row>
    <row r="144" customFormat="false" ht="15" hidden="false" customHeight="false" outlineLevel="0" collapsed="false">
      <c r="A144" s="5" t="n">
        <v>143</v>
      </c>
      <c r="B144" s="5" t="n">
        <v>20260701</v>
      </c>
      <c r="C144" s="5" t="n">
        <v>2</v>
      </c>
      <c r="D144" s="5" t="n">
        <v>3</v>
      </c>
      <c r="E144" s="5" t="n">
        <v>31</v>
      </c>
      <c r="F144" s="5" t="n">
        <v>124</v>
      </c>
      <c r="G144" s="5" t="n">
        <v>9</v>
      </c>
      <c r="H144" s="5" t="n">
        <v>101</v>
      </c>
      <c r="I144" s="5" t="n">
        <v>120</v>
      </c>
      <c r="J144" s="5" t="n">
        <v>106263</v>
      </c>
      <c r="K144" s="5" t="n">
        <v>18476</v>
      </c>
      <c r="L144" s="5" t="n">
        <v>14158</v>
      </c>
      <c r="M144" s="5" t="n">
        <v>0</v>
      </c>
      <c r="N144" s="5" t="n">
        <v>43961</v>
      </c>
      <c r="O144" s="5" t="n">
        <v>12474</v>
      </c>
      <c r="P144" s="5" t="n">
        <v>5400</v>
      </c>
    </row>
    <row r="145" customFormat="false" ht="15" hidden="false" customHeight="false" outlineLevel="0" collapsed="false">
      <c r="A145" s="5" t="n">
        <v>144</v>
      </c>
      <c r="B145" s="5" t="n">
        <v>20260701</v>
      </c>
      <c r="C145" s="5" t="n">
        <v>3</v>
      </c>
      <c r="D145" s="5" t="n">
        <v>3</v>
      </c>
      <c r="E145" s="5" t="n">
        <v>18</v>
      </c>
      <c r="F145" s="5" t="n">
        <v>73</v>
      </c>
      <c r="G145" s="5" t="n">
        <v>5</v>
      </c>
      <c r="H145" s="5" t="n">
        <v>60</v>
      </c>
      <c r="I145" s="5" t="n">
        <v>71</v>
      </c>
      <c r="J145" s="5" t="n">
        <v>48988</v>
      </c>
      <c r="K145" s="5" t="n">
        <v>10877</v>
      </c>
      <c r="L145" s="5" t="n">
        <v>9162</v>
      </c>
      <c r="M145" s="5" t="n">
        <v>0</v>
      </c>
      <c r="N145" s="5" t="n">
        <v>19991</v>
      </c>
      <c r="O145" s="5" t="n">
        <v>5986</v>
      </c>
      <c r="P145" s="5" t="n">
        <v>3195</v>
      </c>
    </row>
    <row r="146" customFormat="false" ht="15" hidden="false" customHeight="false" outlineLevel="0" collapsed="false">
      <c r="A146" s="5" t="n">
        <v>145</v>
      </c>
      <c r="B146" s="5" t="n">
        <v>20260701</v>
      </c>
      <c r="C146" s="5" t="n">
        <v>1</v>
      </c>
      <c r="D146" s="5" t="n">
        <v>4</v>
      </c>
      <c r="E146" s="5" t="n">
        <v>35</v>
      </c>
      <c r="F146" s="5" t="n">
        <v>164</v>
      </c>
      <c r="G146" s="5" t="n">
        <v>11</v>
      </c>
      <c r="H146" s="5" t="n">
        <v>135</v>
      </c>
      <c r="I146" s="5" t="n">
        <v>158</v>
      </c>
      <c r="J146" s="5" t="n">
        <v>120924</v>
      </c>
      <c r="K146" s="5" t="n">
        <v>24436</v>
      </c>
      <c r="L146" s="5" t="n">
        <v>19213</v>
      </c>
      <c r="M146" s="5" t="n">
        <v>0</v>
      </c>
      <c r="N146" s="5" t="n">
        <v>48534</v>
      </c>
      <c r="O146" s="5" t="n">
        <v>8722</v>
      </c>
      <c r="P146" s="5" t="n">
        <v>7110</v>
      </c>
    </row>
    <row r="147" customFormat="false" ht="15" hidden="false" customHeight="false" outlineLevel="0" collapsed="false">
      <c r="A147" s="5" t="n">
        <v>146</v>
      </c>
      <c r="B147" s="5" t="n">
        <v>20260701</v>
      </c>
      <c r="C147" s="5" t="n">
        <v>2</v>
      </c>
      <c r="D147" s="5" t="n">
        <v>4</v>
      </c>
      <c r="E147" s="5" t="n">
        <v>22</v>
      </c>
      <c r="F147" s="5" t="n">
        <v>92</v>
      </c>
      <c r="G147" s="5" t="n">
        <v>7</v>
      </c>
      <c r="H147" s="5" t="n">
        <v>73</v>
      </c>
      <c r="I147" s="5" t="n">
        <v>88</v>
      </c>
      <c r="J147" s="5" t="n">
        <v>83208</v>
      </c>
      <c r="K147" s="5" t="n">
        <v>13708</v>
      </c>
      <c r="L147" s="5" t="n">
        <v>10341</v>
      </c>
      <c r="M147" s="5" t="n">
        <v>0</v>
      </c>
      <c r="N147" s="5" t="n">
        <v>32467</v>
      </c>
      <c r="O147" s="5" t="n">
        <v>5815</v>
      </c>
      <c r="P147" s="5" t="n">
        <v>3960</v>
      </c>
    </row>
    <row r="148" customFormat="false" ht="15" hidden="false" customHeight="false" outlineLevel="0" collapsed="false">
      <c r="A148" s="5" t="n">
        <v>147</v>
      </c>
      <c r="B148" s="5" t="n">
        <v>20260701</v>
      </c>
      <c r="C148" s="5" t="n">
        <v>3</v>
      </c>
      <c r="D148" s="5" t="n">
        <v>4</v>
      </c>
      <c r="E148" s="5" t="n">
        <v>13</v>
      </c>
      <c r="F148" s="5" t="n">
        <v>56</v>
      </c>
      <c r="G148" s="5" t="n">
        <v>3</v>
      </c>
      <c r="H148" s="5" t="n">
        <v>47</v>
      </c>
      <c r="I148" s="5" t="n">
        <v>54</v>
      </c>
      <c r="J148" s="5" t="n">
        <v>38170</v>
      </c>
      <c r="K148" s="5" t="n">
        <v>8344</v>
      </c>
      <c r="L148" s="5" t="n">
        <v>6379</v>
      </c>
      <c r="M148" s="5" t="n">
        <v>0</v>
      </c>
      <c r="N148" s="5" t="n">
        <v>15056</v>
      </c>
      <c r="O148" s="5" t="n">
        <v>2791</v>
      </c>
      <c r="P148" s="5" t="n">
        <v>2430</v>
      </c>
    </row>
    <row r="149" customFormat="false" ht="15" hidden="false" customHeight="false" outlineLevel="0" collapsed="false">
      <c r="A149" s="5" t="n">
        <v>148</v>
      </c>
      <c r="B149" s="5" t="n">
        <v>20260701</v>
      </c>
      <c r="C149" s="5" t="n">
        <v>1</v>
      </c>
      <c r="D149" s="5" t="n">
        <v>5</v>
      </c>
      <c r="E149" s="5" t="n">
        <v>20</v>
      </c>
      <c r="F149" s="5" t="n">
        <v>82</v>
      </c>
      <c r="G149" s="5" t="n">
        <v>5</v>
      </c>
      <c r="H149" s="5" t="n">
        <v>62</v>
      </c>
      <c r="I149" s="5" t="n">
        <v>78</v>
      </c>
      <c r="J149" s="5" t="n">
        <v>62335</v>
      </c>
      <c r="K149" s="5" t="n">
        <v>12218</v>
      </c>
      <c r="L149" s="5" t="n">
        <v>9620</v>
      </c>
      <c r="M149" s="5" t="n">
        <v>27300</v>
      </c>
      <c r="N149" s="5" t="n">
        <v>24973</v>
      </c>
      <c r="O149" s="5" t="n">
        <v>0</v>
      </c>
      <c r="P149" s="5" t="n">
        <v>1560</v>
      </c>
    </row>
    <row r="150" customFormat="false" ht="15" hidden="false" customHeight="false" outlineLevel="0" collapsed="false">
      <c r="A150" s="5" t="n">
        <v>149</v>
      </c>
      <c r="B150" s="5" t="n">
        <v>20260701</v>
      </c>
      <c r="C150" s="5" t="n">
        <v>2</v>
      </c>
      <c r="D150" s="5" t="n">
        <v>5</v>
      </c>
      <c r="E150" s="5" t="n">
        <v>11</v>
      </c>
      <c r="F150" s="5" t="n">
        <v>46</v>
      </c>
      <c r="G150" s="5" t="n">
        <v>3</v>
      </c>
      <c r="H150" s="5" t="n">
        <v>37</v>
      </c>
      <c r="I150" s="5" t="n">
        <v>45</v>
      </c>
      <c r="J150" s="5" t="n">
        <v>41220</v>
      </c>
      <c r="K150" s="5" t="n">
        <v>6854</v>
      </c>
      <c r="L150" s="5" t="n">
        <v>5697</v>
      </c>
      <c r="M150" s="5" t="n">
        <v>15750</v>
      </c>
      <c r="N150" s="5" t="n">
        <v>16809</v>
      </c>
      <c r="O150" s="5" t="n">
        <v>0</v>
      </c>
      <c r="P150" s="5" t="n">
        <v>900</v>
      </c>
    </row>
    <row r="151" customFormat="false" ht="15" hidden="false" customHeight="false" outlineLevel="0" collapsed="false">
      <c r="A151" s="5" t="n">
        <v>150</v>
      </c>
      <c r="B151" s="5" t="n">
        <v>20260701</v>
      </c>
      <c r="C151" s="5" t="n">
        <v>3</v>
      </c>
      <c r="D151" s="5" t="n">
        <v>5</v>
      </c>
      <c r="E151" s="5" t="n">
        <v>7</v>
      </c>
      <c r="F151" s="5" t="n">
        <v>26</v>
      </c>
      <c r="G151" s="5" t="n">
        <v>2</v>
      </c>
      <c r="H151" s="5" t="n">
        <v>21</v>
      </c>
      <c r="I151" s="5" t="n">
        <v>25</v>
      </c>
      <c r="J151" s="5" t="n">
        <v>17247</v>
      </c>
      <c r="K151" s="5" t="n">
        <v>3874</v>
      </c>
      <c r="L151" s="5" t="n">
        <v>3113</v>
      </c>
      <c r="M151" s="5" t="n">
        <v>8750</v>
      </c>
      <c r="N151" s="5" t="n">
        <v>6768</v>
      </c>
      <c r="O151" s="5" t="n">
        <v>0</v>
      </c>
      <c r="P151" s="5" t="n">
        <v>500</v>
      </c>
    </row>
    <row r="152" customFormat="false" ht="15" hidden="false" customHeight="false" outlineLevel="0" collapsed="false">
      <c r="A152" s="5" t="n">
        <v>151</v>
      </c>
      <c r="B152" s="5" t="n">
        <v>20260801</v>
      </c>
      <c r="C152" s="5" t="n">
        <v>1</v>
      </c>
      <c r="D152" s="5" t="n">
        <v>1</v>
      </c>
      <c r="E152" s="5" t="n">
        <v>85</v>
      </c>
      <c r="F152" s="5" t="n">
        <v>380</v>
      </c>
      <c r="G152" s="5" t="n">
        <v>26</v>
      </c>
      <c r="H152" s="5" t="n">
        <v>333</v>
      </c>
      <c r="I152" s="5" t="n">
        <v>366</v>
      </c>
      <c r="J152" s="5" t="n">
        <v>288272</v>
      </c>
      <c r="K152" s="5" t="n">
        <v>56620</v>
      </c>
      <c r="L152" s="5" t="n">
        <v>44347</v>
      </c>
      <c r="M152" s="5" t="n">
        <v>0</v>
      </c>
      <c r="N152" s="5" t="n">
        <v>110657</v>
      </c>
      <c r="O152" s="5" t="n">
        <v>0</v>
      </c>
      <c r="P152" s="5" t="n">
        <v>16470</v>
      </c>
    </row>
    <row r="153" customFormat="false" ht="15" hidden="false" customHeight="false" outlineLevel="0" collapsed="false">
      <c r="A153" s="5" t="n">
        <v>152</v>
      </c>
      <c r="B153" s="5" t="n">
        <v>20260801</v>
      </c>
      <c r="C153" s="5" t="n">
        <v>2</v>
      </c>
      <c r="D153" s="5" t="n">
        <v>1</v>
      </c>
      <c r="E153" s="5" t="n">
        <v>46</v>
      </c>
      <c r="F153" s="5" t="n">
        <v>219</v>
      </c>
      <c r="G153" s="5" t="n">
        <v>15</v>
      </c>
      <c r="H153" s="5" t="n">
        <v>174</v>
      </c>
      <c r="I153" s="5" t="n">
        <v>213</v>
      </c>
      <c r="J153" s="5" t="n">
        <v>190427</v>
      </c>
      <c r="K153" s="5" t="n">
        <v>32631</v>
      </c>
      <c r="L153" s="5" t="n">
        <v>26395</v>
      </c>
      <c r="M153" s="5" t="n">
        <v>0</v>
      </c>
      <c r="N153" s="5" t="n">
        <v>75656</v>
      </c>
      <c r="O153" s="5" t="n">
        <v>0</v>
      </c>
      <c r="P153" s="5" t="n">
        <v>9585</v>
      </c>
    </row>
    <row r="154" customFormat="false" ht="15" hidden="false" customHeight="false" outlineLevel="0" collapsed="false">
      <c r="A154" s="5" t="n">
        <v>153</v>
      </c>
      <c r="B154" s="5" t="n">
        <v>20260801</v>
      </c>
      <c r="C154" s="5" t="n">
        <v>3</v>
      </c>
      <c r="D154" s="5" t="n">
        <v>1</v>
      </c>
      <c r="E154" s="5" t="n">
        <v>29</v>
      </c>
      <c r="F154" s="5" t="n">
        <v>137</v>
      </c>
      <c r="G154" s="5" t="n">
        <v>9</v>
      </c>
      <c r="H154" s="5" t="n">
        <v>104</v>
      </c>
      <c r="I154" s="5" t="n">
        <v>132</v>
      </c>
      <c r="J154" s="5" t="n">
        <v>91467</v>
      </c>
      <c r="K154" s="5" t="n">
        <v>20413</v>
      </c>
      <c r="L154" s="5" t="n">
        <v>15466</v>
      </c>
      <c r="M154" s="5" t="n">
        <v>0</v>
      </c>
      <c r="N154" s="5" t="n">
        <v>35400</v>
      </c>
      <c r="O154" s="5" t="n">
        <v>0</v>
      </c>
      <c r="P154" s="5" t="n">
        <v>5940</v>
      </c>
    </row>
    <row r="155" customFormat="false" ht="15" hidden="false" customHeight="false" outlineLevel="0" collapsed="false">
      <c r="A155" s="5" t="n">
        <v>154</v>
      </c>
      <c r="B155" s="5" t="n">
        <v>20260801</v>
      </c>
      <c r="C155" s="5" t="n">
        <v>1</v>
      </c>
      <c r="D155" s="5" t="n">
        <v>2</v>
      </c>
      <c r="E155" s="5" t="n">
        <v>68</v>
      </c>
      <c r="F155" s="5" t="n">
        <v>343</v>
      </c>
      <c r="G155" s="5" t="n">
        <v>21</v>
      </c>
      <c r="H155" s="5" t="n">
        <v>256</v>
      </c>
      <c r="I155" s="5" t="n">
        <v>336</v>
      </c>
      <c r="J155" s="5" t="n">
        <v>258606</v>
      </c>
      <c r="K155" s="5" t="n">
        <v>51107</v>
      </c>
      <c r="L155" s="5" t="n">
        <v>37160</v>
      </c>
      <c r="M155" s="5" t="n">
        <v>0</v>
      </c>
      <c r="N155" s="5" t="n">
        <v>105781</v>
      </c>
      <c r="O155" s="5" t="n">
        <v>7743</v>
      </c>
      <c r="P155" s="5" t="n">
        <v>15120</v>
      </c>
    </row>
    <row r="156" customFormat="false" ht="15" hidden="false" customHeight="false" outlineLevel="0" collapsed="false">
      <c r="A156" s="5" t="n">
        <v>155</v>
      </c>
      <c r="B156" s="5" t="n">
        <v>20260801</v>
      </c>
      <c r="C156" s="5" t="n">
        <v>2</v>
      </c>
      <c r="D156" s="5" t="n">
        <v>2</v>
      </c>
      <c r="E156" s="5" t="n">
        <v>42</v>
      </c>
      <c r="F156" s="5" t="n">
        <v>195</v>
      </c>
      <c r="G156" s="5" t="n">
        <v>11</v>
      </c>
      <c r="H156" s="5" t="n">
        <v>160</v>
      </c>
      <c r="I156" s="5" t="n">
        <v>191</v>
      </c>
      <c r="J156" s="5" t="n">
        <v>173410</v>
      </c>
      <c r="K156" s="5" t="n">
        <v>29055</v>
      </c>
      <c r="L156" s="5" t="n">
        <v>22186</v>
      </c>
      <c r="M156" s="5" t="n">
        <v>0</v>
      </c>
      <c r="N156" s="5" t="n">
        <v>70892</v>
      </c>
      <c r="O156" s="5" t="n">
        <v>5062</v>
      </c>
      <c r="P156" s="5" t="n">
        <v>8595</v>
      </c>
    </row>
    <row r="157" customFormat="false" ht="15" hidden="false" customHeight="false" outlineLevel="0" collapsed="false">
      <c r="A157" s="5" t="n">
        <v>156</v>
      </c>
      <c r="B157" s="5" t="n">
        <v>20260801</v>
      </c>
      <c r="C157" s="5" t="n">
        <v>3</v>
      </c>
      <c r="D157" s="5" t="n">
        <v>2</v>
      </c>
      <c r="E157" s="5" t="n">
        <v>27</v>
      </c>
      <c r="F157" s="5" t="n">
        <v>117</v>
      </c>
      <c r="G157" s="5" t="n">
        <v>8</v>
      </c>
      <c r="H157" s="5" t="n">
        <v>98</v>
      </c>
      <c r="I157" s="5" t="n">
        <v>112</v>
      </c>
      <c r="J157" s="5" t="n">
        <v>78468</v>
      </c>
      <c r="K157" s="5" t="n">
        <v>17433</v>
      </c>
      <c r="L157" s="5" t="n">
        <v>12790</v>
      </c>
      <c r="M157" s="5" t="n">
        <v>0</v>
      </c>
      <c r="N157" s="5" t="n">
        <v>32085</v>
      </c>
      <c r="O157" s="5" t="n">
        <v>2398</v>
      </c>
      <c r="P157" s="5" t="n">
        <v>5040</v>
      </c>
    </row>
    <row r="158" customFormat="false" ht="15" hidden="false" customHeight="false" outlineLevel="0" collapsed="false">
      <c r="A158" s="5" t="n">
        <v>157</v>
      </c>
      <c r="B158" s="5" t="n">
        <v>20260801</v>
      </c>
      <c r="C158" s="5" t="n">
        <v>1</v>
      </c>
      <c r="D158" s="5" t="n">
        <v>3</v>
      </c>
      <c r="E158" s="5" t="n">
        <v>54</v>
      </c>
      <c r="F158" s="5" t="n">
        <v>253</v>
      </c>
      <c r="G158" s="5" t="n">
        <v>15</v>
      </c>
      <c r="H158" s="5" t="n">
        <v>207</v>
      </c>
      <c r="I158" s="5" t="n">
        <v>246</v>
      </c>
      <c r="J158" s="5" t="n">
        <v>188094</v>
      </c>
      <c r="K158" s="5" t="n">
        <v>37697</v>
      </c>
      <c r="L158" s="5" t="n">
        <v>30284</v>
      </c>
      <c r="M158" s="5" t="n">
        <v>0</v>
      </c>
      <c r="N158" s="5" t="n">
        <v>72890</v>
      </c>
      <c r="O158" s="5" t="n">
        <v>22579</v>
      </c>
      <c r="P158" s="5" t="n">
        <v>11070</v>
      </c>
    </row>
    <row r="159" customFormat="false" ht="15" hidden="false" customHeight="false" outlineLevel="0" collapsed="false">
      <c r="A159" s="5" t="n">
        <v>158</v>
      </c>
      <c r="B159" s="5" t="n">
        <v>20260801</v>
      </c>
      <c r="C159" s="5" t="n">
        <v>2</v>
      </c>
      <c r="D159" s="5" t="n">
        <v>3</v>
      </c>
      <c r="E159" s="5" t="n">
        <v>32</v>
      </c>
      <c r="F159" s="5" t="n">
        <v>147</v>
      </c>
      <c r="G159" s="5" t="n">
        <v>9</v>
      </c>
      <c r="H159" s="5" t="n">
        <v>124</v>
      </c>
      <c r="I159" s="5" t="n">
        <v>145</v>
      </c>
      <c r="J159" s="5" t="n">
        <v>138450</v>
      </c>
      <c r="K159" s="5" t="n">
        <v>21903</v>
      </c>
      <c r="L159" s="5" t="n">
        <v>17537</v>
      </c>
      <c r="M159" s="5" t="n">
        <v>0</v>
      </c>
      <c r="N159" s="5" t="n">
        <v>55694</v>
      </c>
      <c r="O159" s="5" t="n">
        <v>16035</v>
      </c>
      <c r="P159" s="5" t="n">
        <v>6525</v>
      </c>
    </row>
    <row r="160" customFormat="false" ht="15" hidden="false" customHeight="false" outlineLevel="0" collapsed="false">
      <c r="A160" s="5" t="n">
        <v>159</v>
      </c>
      <c r="B160" s="5" t="n">
        <v>20260801</v>
      </c>
      <c r="C160" s="5" t="n">
        <v>3</v>
      </c>
      <c r="D160" s="5" t="n">
        <v>3</v>
      </c>
      <c r="E160" s="5" t="n">
        <v>18</v>
      </c>
      <c r="F160" s="5" t="n">
        <v>85</v>
      </c>
      <c r="G160" s="5" t="n">
        <v>6</v>
      </c>
      <c r="H160" s="5" t="n">
        <v>73</v>
      </c>
      <c r="I160" s="5" t="n">
        <v>82</v>
      </c>
      <c r="J160" s="5" t="n">
        <v>58309</v>
      </c>
      <c r="K160" s="5" t="n">
        <v>12665</v>
      </c>
      <c r="L160" s="5" t="n">
        <v>10696</v>
      </c>
      <c r="M160" s="5" t="n">
        <v>0</v>
      </c>
      <c r="N160" s="5" t="n">
        <v>22700</v>
      </c>
      <c r="O160" s="5" t="n">
        <v>7097</v>
      </c>
      <c r="P160" s="5" t="n">
        <v>3690</v>
      </c>
    </row>
    <row r="161" customFormat="false" ht="15" hidden="false" customHeight="false" outlineLevel="0" collapsed="false">
      <c r="A161" s="5" t="n">
        <v>160</v>
      </c>
      <c r="B161" s="5" t="n">
        <v>20260801</v>
      </c>
      <c r="C161" s="5" t="n">
        <v>1</v>
      </c>
      <c r="D161" s="5" t="n">
        <v>4</v>
      </c>
      <c r="E161" s="5" t="n">
        <v>44</v>
      </c>
      <c r="F161" s="5" t="n">
        <v>196</v>
      </c>
      <c r="G161" s="5" t="n">
        <v>12</v>
      </c>
      <c r="H161" s="5" t="n">
        <v>149</v>
      </c>
      <c r="I161" s="5" t="n">
        <v>193</v>
      </c>
      <c r="J161" s="5" t="n">
        <v>153820</v>
      </c>
      <c r="K161" s="5" t="n">
        <v>29204</v>
      </c>
      <c r="L161" s="5" t="n">
        <v>21295</v>
      </c>
      <c r="M161" s="5" t="n">
        <v>0</v>
      </c>
      <c r="N161" s="5" t="n">
        <v>59486</v>
      </c>
      <c r="O161" s="5" t="n">
        <v>10981</v>
      </c>
      <c r="P161" s="5" t="n">
        <v>8685</v>
      </c>
    </row>
    <row r="162" customFormat="false" ht="15" hidden="false" customHeight="false" outlineLevel="0" collapsed="false">
      <c r="A162" s="5" t="n">
        <v>161</v>
      </c>
      <c r="B162" s="5" t="n">
        <v>20260801</v>
      </c>
      <c r="C162" s="5" t="n">
        <v>2</v>
      </c>
      <c r="D162" s="5" t="n">
        <v>4</v>
      </c>
      <c r="E162" s="5" t="n">
        <v>22</v>
      </c>
      <c r="F162" s="5" t="n">
        <v>107</v>
      </c>
      <c r="G162" s="5" t="n">
        <v>7</v>
      </c>
      <c r="H162" s="5" t="n">
        <v>87</v>
      </c>
      <c r="I162" s="5" t="n">
        <v>103</v>
      </c>
      <c r="J162" s="5" t="n">
        <v>92041</v>
      </c>
      <c r="K162" s="5" t="n">
        <v>15943</v>
      </c>
      <c r="L162" s="5" t="n">
        <v>13336</v>
      </c>
      <c r="M162" s="5" t="n">
        <v>0</v>
      </c>
      <c r="N162" s="5" t="n">
        <v>36037</v>
      </c>
      <c r="O162" s="5" t="n">
        <v>6479</v>
      </c>
      <c r="P162" s="5" t="n">
        <v>4635</v>
      </c>
    </row>
    <row r="163" customFormat="false" ht="15" hidden="false" customHeight="false" outlineLevel="0" collapsed="false">
      <c r="A163" s="5" t="n">
        <v>162</v>
      </c>
      <c r="B163" s="5" t="n">
        <v>20260801</v>
      </c>
      <c r="C163" s="5" t="n">
        <v>3</v>
      </c>
      <c r="D163" s="5" t="n">
        <v>4</v>
      </c>
      <c r="E163" s="5" t="n">
        <v>14</v>
      </c>
      <c r="F163" s="5" t="n">
        <v>66</v>
      </c>
      <c r="G163" s="5" t="n">
        <v>4</v>
      </c>
      <c r="H163" s="5" t="n">
        <v>58</v>
      </c>
      <c r="I163" s="5" t="n">
        <v>65</v>
      </c>
      <c r="J163" s="5" t="n">
        <v>45472</v>
      </c>
      <c r="K163" s="5" t="n">
        <v>9834</v>
      </c>
      <c r="L163" s="5" t="n">
        <v>8561</v>
      </c>
      <c r="M163" s="5" t="n">
        <v>0</v>
      </c>
      <c r="N163" s="5" t="n">
        <v>17466</v>
      </c>
      <c r="O163" s="5" t="n">
        <v>3318</v>
      </c>
      <c r="P163" s="5" t="n">
        <v>2925</v>
      </c>
    </row>
    <row r="164" customFormat="false" ht="15" hidden="false" customHeight="false" outlineLevel="0" collapsed="false">
      <c r="A164" s="5" t="n">
        <v>163</v>
      </c>
      <c r="B164" s="5" t="n">
        <v>20260801</v>
      </c>
      <c r="C164" s="5" t="n">
        <v>1</v>
      </c>
      <c r="D164" s="5" t="n">
        <v>5</v>
      </c>
      <c r="E164" s="5" t="n">
        <v>20</v>
      </c>
      <c r="F164" s="5" t="n">
        <v>96</v>
      </c>
      <c r="G164" s="5" t="n">
        <v>6</v>
      </c>
      <c r="H164" s="5" t="n">
        <v>80</v>
      </c>
      <c r="I164" s="5" t="n">
        <v>92</v>
      </c>
      <c r="J164" s="5" t="n">
        <v>71506</v>
      </c>
      <c r="K164" s="5" t="n">
        <v>14304</v>
      </c>
      <c r="L164" s="5" t="n">
        <v>11433</v>
      </c>
      <c r="M164" s="5" t="n">
        <v>32200</v>
      </c>
      <c r="N164" s="5" t="n">
        <v>29141</v>
      </c>
      <c r="O164" s="5" t="n">
        <v>0</v>
      </c>
      <c r="P164" s="5" t="n">
        <v>1840</v>
      </c>
    </row>
    <row r="165" customFormat="false" ht="15" hidden="false" customHeight="false" outlineLevel="0" collapsed="false">
      <c r="A165" s="5" t="n">
        <v>164</v>
      </c>
      <c r="B165" s="5" t="n">
        <v>20260801</v>
      </c>
      <c r="C165" s="5" t="n">
        <v>2</v>
      </c>
      <c r="D165" s="5" t="n">
        <v>5</v>
      </c>
      <c r="E165" s="5" t="n">
        <v>13</v>
      </c>
      <c r="F165" s="5" t="n">
        <v>56</v>
      </c>
      <c r="G165" s="5" t="n">
        <v>3</v>
      </c>
      <c r="H165" s="5" t="n">
        <v>48</v>
      </c>
      <c r="I165" s="5" t="n">
        <v>55</v>
      </c>
      <c r="J165" s="5" t="n">
        <v>52421</v>
      </c>
      <c r="K165" s="5" t="n">
        <v>8344</v>
      </c>
      <c r="L165" s="5" t="n">
        <v>7125</v>
      </c>
      <c r="M165" s="5" t="n">
        <v>19250</v>
      </c>
      <c r="N165" s="5" t="n">
        <v>21378</v>
      </c>
      <c r="O165" s="5" t="n">
        <v>0</v>
      </c>
      <c r="P165" s="5" t="n">
        <v>1100</v>
      </c>
    </row>
    <row r="166" customFormat="false" ht="15" hidden="false" customHeight="false" outlineLevel="0" collapsed="false">
      <c r="A166" s="5" t="n">
        <v>165</v>
      </c>
      <c r="B166" s="5" t="n">
        <v>20260801</v>
      </c>
      <c r="C166" s="5" t="n">
        <v>3</v>
      </c>
      <c r="D166" s="5" t="n">
        <v>5</v>
      </c>
      <c r="E166" s="5" t="n">
        <v>8</v>
      </c>
      <c r="F166" s="5" t="n">
        <v>32</v>
      </c>
      <c r="G166" s="5" t="n">
        <v>2</v>
      </c>
      <c r="H166" s="5" t="n">
        <v>27</v>
      </c>
      <c r="I166" s="5" t="n">
        <v>31</v>
      </c>
      <c r="J166" s="5" t="n">
        <v>21822</v>
      </c>
      <c r="K166" s="5" t="n">
        <v>4768</v>
      </c>
      <c r="L166" s="5" t="n">
        <v>3771</v>
      </c>
      <c r="M166" s="5" t="n">
        <v>10850</v>
      </c>
      <c r="N166" s="5" t="n">
        <v>8571</v>
      </c>
      <c r="O166" s="5" t="n">
        <v>0</v>
      </c>
      <c r="P166" s="5" t="n">
        <v>620</v>
      </c>
    </row>
    <row r="167" customFormat="false" ht="15" hidden="false" customHeight="false" outlineLevel="0" collapsed="false">
      <c r="A167" s="5" t="n">
        <v>166</v>
      </c>
      <c r="B167" s="5" t="n">
        <v>20260901</v>
      </c>
      <c r="C167" s="5" t="n">
        <v>1</v>
      </c>
      <c r="D167" s="5" t="n">
        <v>1</v>
      </c>
      <c r="E167" s="5" t="n">
        <v>90</v>
      </c>
      <c r="F167" s="5" t="n">
        <v>444</v>
      </c>
      <c r="G167" s="5" t="n">
        <v>26</v>
      </c>
      <c r="H167" s="5" t="n">
        <v>349</v>
      </c>
      <c r="I167" s="5" t="n">
        <v>433</v>
      </c>
      <c r="J167" s="5" t="n">
        <v>334857</v>
      </c>
      <c r="K167" s="5" t="n">
        <v>66156</v>
      </c>
      <c r="L167" s="5" t="n">
        <v>58373</v>
      </c>
      <c r="M167" s="5" t="n">
        <v>0</v>
      </c>
      <c r="N167" s="5" t="n">
        <v>132903</v>
      </c>
      <c r="O167" s="5" t="n">
        <v>0</v>
      </c>
      <c r="P167" s="5" t="n">
        <v>19485</v>
      </c>
    </row>
    <row r="168" customFormat="false" ht="15" hidden="false" customHeight="false" outlineLevel="0" collapsed="false">
      <c r="A168" s="5" t="n">
        <v>167</v>
      </c>
      <c r="B168" s="5" t="n">
        <v>20260901</v>
      </c>
      <c r="C168" s="5" t="n">
        <v>2</v>
      </c>
      <c r="D168" s="5" t="n">
        <v>1</v>
      </c>
      <c r="E168" s="5" t="n">
        <v>50</v>
      </c>
      <c r="F168" s="5" t="n">
        <v>255</v>
      </c>
      <c r="G168" s="5" t="n">
        <v>14</v>
      </c>
      <c r="H168" s="5" t="n">
        <v>202</v>
      </c>
      <c r="I168" s="5" t="n">
        <v>251</v>
      </c>
      <c r="J168" s="5" t="n">
        <v>238948</v>
      </c>
      <c r="K168" s="5" t="n">
        <v>37995</v>
      </c>
      <c r="L168" s="5" t="n">
        <v>29412</v>
      </c>
      <c r="M168" s="5" t="n">
        <v>0</v>
      </c>
      <c r="N168" s="5" t="n">
        <v>96701</v>
      </c>
      <c r="O168" s="5" t="n">
        <v>0</v>
      </c>
      <c r="P168" s="5" t="n">
        <v>11295</v>
      </c>
    </row>
    <row r="169" customFormat="false" ht="15" hidden="false" customHeight="false" outlineLevel="0" collapsed="false">
      <c r="A169" s="5" t="n">
        <v>168</v>
      </c>
      <c r="B169" s="5" t="n">
        <v>20260901</v>
      </c>
      <c r="C169" s="5" t="n">
        <v>3</v>
      </c>
      <c r="D169" s="5" t="n">
        <v>1</v>
      </c>
      <c r="E169" s="5" t="n">
        <v>30</v>
      </c>
      <c r="F169" s="5" t="n">
        <v>158</v>
      </c>
      <c r="G169" s="5" t="n">
        <v>9</v>
      </c>
      <c r="H169" s="5" t="n">
        <v>128</v>
      </c>
      <c r="I169" s="5" t="n">
        <v>155</v>
      </c>
      <c r="J169" s="5" t="n">
        <v>108253</v>
      </c>
      <c r="K169" s="5" t="n">
        <v>23542</v>
      </c>
      <c r="L169" s="5" t="n">
        <v>18115</v>
      </c>
      <c r="M169" s="5" t="n">
        <v>0</v>
      </c>
      <c r="N169" s="5" t="n">
        <v>42297</v>
      </c>
      <c r="O169" s="5" t="n">
        <v>0</v>
      </c>
      <c r="P169" s="5" t="n">
        <v>6975</v>
      </c>
    </row>
    <row r="170" customFormat="false" ht="15" hidden="false" customHeight="false" outlineLevel="0" collapsed="false">
      <c r="A170" s="5" t="n">
        <v>169</v>
      </c>
      <c r="B170" s="5" t="n">
        <v>20260901</v>
      </c>
      <c r="C170" s="5" t="n">
        <v>1</v>
      </c>
      <c r="D170" s="5" t="n">
        <v>2</v>
      </c>
      <c r="E170" s="5" t="n">
        <v>80</v>
      </c>
      <c r="F170" s="5" t="n">
        <v>398</v>
      </c>
      <c r="G170" s="5" t="n">
        <v>25</v>
      </c>
      <c r="H170" s="5" t="n">
        <v>311</v>
      </c>
      <c r="I170" s="5" t="n">
        <v>393</v>
      </c>
      <c r="J170" s="5" t="n">
        <v>312000</v>
      </c>
      <c r="K170" s="5" t="n">
        <v>59302</v>
      </c>
      <c r="L170" s="5" t="n">
        <v>49256</v>
      </c>
      <c r="M170" s="5" t="n">
        <v>0</v>
      </c>
      <c r="N170" s="5" t="n">
        <v>118619</v>
      </c>
      <c r="O170" s="5" t="n">
        <v>9283</v>
      </c>
      <c r="P170" s="5" t="n">
        <v>17685</v>
      </c>
    </row>
    <row r="171" customFormat="false" ht="15" hidden="false" customHeight="false" outlineLevel="0" collapsed="false">
      <c r="A171" s="5" t="n">
        <v>170</v>
      </c>
      <c r="B171" s="5" t="n">
        <v>20260901</v>
      </c>
      <c r="C171" s="5" t="n">
        <v>2</v>
      </c>
      <c r="D171" s="5" t="n">
        <v>2</v>
      </c>
      <c r="E171" s="5" t="n">
        <v>46</v>
      </c>
      <c r="F171" s="5" t="n">
        <v>228</v>
      </c>
      <c r="G171" s="5" t="n">
        <v>13</v>
      </c>
      <c r="H171" s="5" t="n">
        <v>187</v>
      </c>
      <c r="I171" s="5" t="n">
        <v>219</v>
      </c>
      <c r="J171" s="5" t="n">
        <v>207042</v>
      </c>
      <c r="K171" s="5" t="n">
        <v>33972</v>
      </c>
      <c r="L171" s="5" t="n">
        <v>25879</v>
      </c>
      <c r="M171" s="5" t="n">
        <v>0</v>
      </c>
      <c r="N171" s="5" t="n">
        <v>81708</v>
      </c>
      <c r="O171" s="5" t="n">
        <v>6025</v>
      </c>
      <c r="P171" s="5" t="n">
        <v>9855</v>
      </c>
    </row>
    <row r="172" customFormat="false" ht="15" hidden="false" customHeight="false" outlineLevel="0" collapsed="false">
      <c r="A172" s="5" t="n">
        <v>171</v>
      </c>
      <c r="B172" s="5" t="n">
        <v>20260901</v>
      </c>
      <c r="C172" s="5" t="n">
        <v>3</v>
      </c>
      <c r="D172" s="5" t="n">
        <v>2</v>
      </c>
      <c r="E172" s="5" t="n">
        <v>26</v>
      </c>
      <c r="F172" s="5" t="n">
        <v>135</v>
      </c>
      <c r="G172" s="5" t="n">
        <v>8</v>
      </c>
      <c r="H172" s="5" t="n">
        <v>108</v>
      </c>
      <c r="I172" s="5" t="n">
        <v>129</v>
      </c>
      <c r="J172" s="5" t="n">
        <v>89137</v>
      </c>
      <c r="K172" s="5" t="n">
        <v>20115</v>
      </c>
      <c r="L172" s="5" t="n">
        <v>15957</v>
      </c>
      <c r="M172" s="5" t="n">
        <v>0</v>
      </c>
      <c r="N172" s="5" t="n">
        <v>35107</v>
      </c>
      <c r="O172" s="5" t="n">
        <v>2731</v>
      </c>
      <c r="P172" s="5" t="n">
        <v>5805</v>
      </c>
    </row>
    <row r="173" customFormat="false" ht="15" hidden="false" customHeight="false" outlineLevel="0" collapsed="false">
      <c r="A173" s="5" t="n">
        <v>172</v>
      </c>
      <c r="B173" s="5" t="n">
        <v>20260901</v>
      </c>
      <c r="C173" s="5" t="n">
        <v>1</v>
      </c>
      <c r="D173" s="5" t="n">
        <v>3</v>
      </c>
      <c r="E173" s="5" t="n">
        <v>56</v>
      </c>
      <c r="F173" s="5" t="n">
        <v>292</v>
      </c>
      <c r="G173" s="5" t="n">
        <v>17</v>
      </c>
      <c r="H173" s="5" t="n">
        <v>236</v>
      </c>
      <c r="I173" s="5" t="n">
        <v>278</v>
      </c>
      <c r="J173" s="5" t="n">
        <v>210797</v>
      </c>
      <c r="K173" s="5" t="n">
        <v>43508</v>
      </c>
      <c r="L173" s="5" t="n">
        <v>34520</v>
      </c>
      <c r="M173" s="5" t="n">
        <v>0</v>
      </c>
      <c r="N173" s="5" t="n">
        <v>81546</v>
      </c>
      <c r="O173" s="5" t="n">
        <v>25430</v>
      </c>
      <c r="P173" s="5" t="n">
        <v>12510</v>
      </c>
    </row>
    <row r="174" customFormat="false" ht="15" hidden="false" customHeight="false" outlineLevel="0" collapsed="false">
      <c r="A174" s="5" t="n">
        <v>173</v>
      </c>
      <c r="B174" s="5" t="n">
        <v>20260901</v>
      </c>
      <c r="C174" s="5" t="n">
        <v>2</v>
      </c>
      <c r="D174" s="5" t="n">
        <v>3</v>
      </c>
      <c r="E174" s="5" t="n">
        <v>37</v>
      </c>
      <c r="F174" s="5" t="n">
        <v>174</v>
      </c>
      <c r="G174" s="5" t="n">
        <v>10</v>
      </c>
      <c r="H174" s="5" t="n">
        <v>134</v>
      </c>
      <c r="I174" s="5" t="n">
        <v>167</v>
      </c>
      <c r="J174" s="5" t="n">
        <v>148884</v>
      </c>
      <c r="K174" s="5" t="n">
        <v>25926</v>
      </c>
      <c r="L174" s="5" t="n">
        <v>22865</v>
      </c>
      <c r="M174" s="5" t="n">
        <v>0</v>
      </c>
      <c r="N174" s="5" t="n">
        <v>60264</v>
      </c>
      <c r="O174" s="5" t="n">
        <v>17481</v>
      </c>
      <c r="P174" s="5" t="n">
        <v>7515</v>
      </c>
    </row>
    <row r="175" customFormat="false" ht="15" hidden="false" customHeight="false" outlineLevel="0" collapsed="false">
      <c r="A175" s="5" t="n">
        <v>174</v>
      </c>
      <c r="B175" s="5" t="n">
        <v>20260901</v>
      </c>
      <c r="C175" s="5" t="n">
        <v>3</v>
      </c>
      <c r="D175" s="5" t="n">
        <v>3</v>
      </c>
      <c r="E175" s="5" t="n">
        <v>19</v>
      </c>
      <c r="F175" s="5" t="n">
        <v>98</v>
      </c>
      <c r="G175" s="5" t="n">
        <v>6</v>
      </c>
      <c r="H175" s="5" t="n">
        <v>82</v>
      </c>
      <c r="I175" s="5" t="n">
        <v>94</v>
      </c>
      <c r="J175" s="5" t="n">
        <v>64777</v>
      </c>
      <c r="K175" s="5" t="n">
        <v>14602</v>
      </c>
      <c r="L175" s="5" t="n">
        <v>10599</v>
      </c>
      <c r="M175" s="5" t="n">
        <v>0</v>
      </c>
      <c r="N175" s="5" t="n">
        <v>26104</v>
      </c>
      <c r="O175" s="5" t="n">
        <v>7938</v>
      </c>
      <c r="P175" s="5" t="n">
        <v>4230</v>
      </c>
    </row>
    <row r="176" customFormat="false" ht="15" hidden="false" customHeight="false" outlineLevel="0" collapsed="false">
      <c r="A176" s="5" t="n">
        <v>175</v>
      </c>
      <c r="B176" s="5" t="n">
        <v>20260901</v>
      </c>
      <c r="C176" s="5" t="n">
        <v>1</v>
      </c>
      <c r="D176" s="5" t="n">
        <v>4</v>
      </c>
      <c r="E176" s="5" t="n">
        <v>47</v>
      </c>
      <c r="F176" s="5" t="n">
        <v>228</v>
      </c>
      <c r="G176" s="5" t="n">
        <v>15</v>
      </c>
      <c r="H176" s="5" t="n">
        <v>188</v>
      </c>
      <c r="I176" s="5" t="n">
        <v>219</v>
      </c>
      <c r="J176" s="5" t="n">
        <v>167232</v>
      </c>
      <c r="K176" s="5" t="n">
        <v>33972</v>
      </c>
      <c r="L176" s="5" t="n">
        <v>28720</v>
      </c>
      <c r="M176" s="5" t="n">
        <v>0</v>
      </c>
      <c r="N176" s="5" t="n">
        <v>65325</v>
      </c>
      <c r="O176" s="5" t="n">
        <v>12072</v>
      </c>
      <c r="P176" s="5" t="n">
        <v>9855</v>
      </c>
    </row>
    <row r="177" customFormat="false" ht="15" hidden="false" customHeight="false" outlineLevel="0" collapsed="false">
      <c r="A177" s="5" t="n">
        <v>176</v>
      </c>
      <c r="B177" s="5" t="n">
        <v>20260901</v>
      </c>
      <c r="C177" s="5" t="n">
        <v>2</v>
      </c>
      <c r="D177" s="5" t="n">
        <v>4</v>
      </c>
      <c r="E177" s="5" t="n">
        <v>26</v>
      </c>
      <c r="F177" s="5" t="n">
        <v>125</v>
      </c>
      <c r="G177" s="5" t="n">
        <v>8</v>
      </c>
      <c r="H177" s="5" t="n">
        <v>101</v>
      </c>
      <c r="I177" s="5" t="n">
        <v>123</v>
      </c>
      <c r="J177" s="5" t="n">
        <v>113795</v>
      </c>
      <c r="K177" s="5" t="n">
        <v>18625</v>
      </c>
      <c r="L177" s="5" t="n">
        <v>14224</v>
      </c>
      <c r="M177" s="5" t="n">
        <v>0</v>
      </c>
      <c r="N177" s="5" t="n">
        <v>43939</v>
      </c>
      <c r="O177" s="5" t="n">
        <v>7945</v>
      </c>
      <c r="P177" s="5" t="n">
        <v>5535</v>
      </c>
    </row>
    <row r="178" customFormat="false" ht="15" hidden="false" customHeight="false" outlineLevel="0" collapsed="false">
      <c r="A178" s="5" t="n">
        <v>177</v>
      </c>
      <c r="B178" s="5" t="n">
        <v>20260901</v>
      </c>
      <c r="C178" s="5" t="n">
        <v>3</v>
      </c>
      <c r="D178" s="5" t="n">
        <v>4</v>
      </c>
      <c r="E178" s="5" t="n">
        <v>17</v>
      </c>
      <c r="F178" s="5" t="n">
        <v>78</v>
      </c>
      <c r="G178" s="5" t="n">
        <v>5</v>
      </c>
      <c r="H178" s="5" t="n">
        <v>65</v>
      </c>
      <c r="I178" s="5" t="n">
        <v>77</v>
      </c>
      <c r="J178" s="5" t="n">
        <v>55829</v>
      </c>
      <c r="K178" s="5" t="n">
        <v>11622</v>
      </c>
      <c r="L178" s="5" t="n">
        <v>10274</v>
      </c>
      <c r="M178" s="5" t="n">
        <v>0</v>
      </c>
      <c r="N178" s="5" t="n">
        <v>23052</v>
      </c>
      <c r="O178" s="5" t="n">
        <v>4047</v>
      </c>
      <c r="P178" s="5" t="n">
        <v>3465</v>
      </c>
    </row>
    <row r="179" customFormat="false" ht="15" hidden="false" customHeight="false" outlineLevel="0" collapsed="false">
      <c r="A179" s="5" t="n">
        <v>178</v>
      </c>
      <c r="B179" s="5" t="n">
        <v>20260901</v>
      </c>
      <c r="C179" s="5" t="n">
        <v>1</v>
      </c>
      <c r="D179" s="5" t="n">
        <v>5</v>
      </c>
      <c r="E179" s="5" t="n">
        <v>23</v>
      </c>
      <c r="F179" s="5" t="n">
        <v>112</v>
      </c>
      <c r="G179" s="5" t="n">
        <v>7</v>
      </c>
      <c r="H179" s="5" t="n">
        <v>91</v>
      </c>
      <c r="I179" s="5" t="n">
        <v>107</v>
      </c>
      <c r="J179" s="5" t="n">
        <v>80459</v>
      </c>
      <c r="K179" s="5" t="n">
        <v>16688</v>
      </c>
      <c r="L179" s="5" t="n">
        <v>12162</v>
      </c>
      <c r="M179" s="5" t="n">
        <v>37450</v>
      </c>
      <c r="N179" s="5" t="n">
        <v>31870</v>
      </c>
      <c r="O179" s="5" t="n">
        <v>0</v>
      </c>
      <c r="P179" s="5" t="n">
        <v>2140</v>
      </c>
    </row>
    <row r="180" customFormat="false" ht="15" hidden="false" customHeight="false" outlineLevel="0" collapsed="false">
      <c r="A180" s="5" t="n">
        <v>179</v>
      </c>
      <c r="B180" s="5" t="n">
        <v>20260901</v>
      </c>
      <c r="C180" s="5" t="n">
        <v>2</v>
      </c>
      <c r="D180" s="5" t="n">
        <v>5</v>
      </c>
      <c r="E180" s="5" t="n">
        <v>12</v>
      </c>
      <c r="F180" s="5" t="n">
        <v>64</v>
      </c>
      <c r="G180" s="5" t="n">
        <v>4</v>
      </c>
      <c r="H180" s="5" t="n">
        <v>52</v>
      </c>
      <c r="I180" s="5" t="n">
        <v>63</v>
      </c>
      <c r="J180" s="5" t="n">
        <v>59150</v>
      </c>
      <c r="K180" s="5" t="n">
        <v>9536</v>
      </c>
      <c r="L180" s="5" t="n">
        <v>8420</v>
      </c>
      <c r="M180" s="5" t="n">
        <v>22050</v>
      </c>
      <c r="N180" s="5" t="n">
        <v>22940</v>
      </c>
      <c r="O180" s="5" t="n">
        <v>0</v>
      </c>
      <c r="P180" s="5" t="n">
        <v>1260</v>
      </c>
    </row>
    <row r="181" customFormat="false" ht="15" hidden="false" customHeight="false" outlineLevel="0" collapsed="false">
      <c r="A181" s="5" t="n">
        <v>180</v>
      </c>
      <c r="B181" s="5" t="n">
        <v>20260901</v>
      </c>
      <c r="C181" s="5" t="n">
        <v>3</v>
      </c>
      <c r="D181" s="5" t="n">
        <v>5</v>
      </c>
      <c r="E181" s="5" t="n">
        <v>8</v>
      </c>
      <c r="F181" s="5" t="n">
        <v>38</v>
      </c>
      <c r="G181" s="5" t="n">
        <v>2</v>
      </c>
      <c r="H181" s="5" t="n">
        <v>31</v>
      </c>
      <c r="I181" s="5" t="n">
        <v>36</v>
      </c>
      <c r="J181" s="5" t="n">
        <v>25776</v>
      </c>
      <c r="K181" s="5" t="n">
        <v>5662</v>
      </c>
      <c r="L181" s="5" t="n">
        <v>4436</v>
      </c>
      <c r="M181" s="5" t="n">
        <v>12600</v>
      </c>
      <c r="N181" s="5" t="n">
        <v>9924</v>
      </c>
      <c r="O181" s="5" t="n">
        <v>0</v>
      </c>
      <c r="P181" s="5" t="n">
        <v>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9" t="s">
        <v>25</v>
      </c>
      <c r="B1" s="9" t="s">
        <v>26</v>
      </c>
      <c r="C1" s="9" t="s">
        <v>28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29</v>
      </c>
    </row>
    <row r="2" customFormat="false" ht="15" hidden="false" customHeight="false" outlineLevel="0" collapsed="false">
      <c r="A2" s="5" t="n">
        <v>1</v>
      </c>
      <c r="B2" s="5" t="n">
        <v>20251001</v>
      </c>
      <c r="C2" s="5" t="n">
        <v>1</v>
      </c>
      <c r="D2" s="5" t="n">
        <v>10145</v>
      </c>
      <c r="E2" s="5" t="n">
        <v>2536</v>
      </c>
      <c r="F2" s="5" t="n">
        <v>841075</v>
      </c>
      <c r="G2" s="5" t="n">
        <v>14973</v>
      </c>
      <c r="H2" s="5" t="n">
        <v>24</v>
      </c>
    </row>
    <row r="3" customFormat="false" ht="15" hidden="false" customHeight="false" outlineLevel="0" collapsed="false">
      <c r="A3" s="5" t="n">
        <v>2</v>
      </c>
      <c r="B3" s="5" t="n">
        <v>20251001</v>
      </c>
      <c r="C3" s="5" t="n">
        <v>2</v>
      </c>
      <c r="D3" s="5" t="n">
        <v>7679</v>
      </c>
      <c r="E3" s="5" t="n">
        <v>0</v>
      </c>
      <c r="F3" s="5" t="n">
        <v>468009</v>
      </c>
      <c r="G3" s="5" t="n">
        <v>8051</v>
      </c>
      <c r="H3" s="5" t="n">
        <v>21</v>
      </c>
    </row>
    <row r="4" customFormat="false" ht="15" hidden="false" customHeight="false" outlineLevel="0" collapsed="false">
      <c r="A4" s="5" t="n">
        <v>3</v>
      </c>
      <c r="B4" s="5" t="n">
        <v>20251001</v>
      </c>
      <c r="C4" s="5" t="n">
        <v>3</v>
      </c>
      <c r="D4" s="5" t="n">
        <v>4039</v>
      </c>
      <c r="E4" s="5" t="n">
        <v>0</v>
      </c>
      <c r="F4" s="5" t="n">
        <v>275430</v>
      </c>
      <c r="G4" s="5" t="n">
        <v>5130</v>
      </c>
      <c r="H4" s="5" t="n">
        <v>16</v>
      </c>
    </row>
    <row r="5" customFormat="false" ht="15" hidden="false" customHeight="false" outlineLevel="0" collapsed="false">
      <c r="A5" s="5" t="n">
        <v>4</v>
      </c>
      <c r="B5" s="5" t="n">
        <v>20251001</v>
      </c>
      <c r="C5" s="5" t="n">
        <v>4</v>
      </c>
      <c r="D5" s="5" t="n">
        <v>7646</v>
      </c>
      <c r="E5" s="5" t="n">
        <v>0</v>
      </c>
      <c r="F5" s="5" t="n">
        <v>500712</v>
      </c>
      <c r="G5" s="5" t="n">
        <v>9040</v>
      </c>
      <c r="H5" s="5" t="n">
        <v>12</v>
      </c>
    </row>
    <row r="6" customFormat="false" ht="15" hidden="false" customHeight="false" outlineLevel="0" collapsed="false">
      <c r="A6" s="5" t="n">
        <v>5</v>
      </c>
      <c r="B6" s="5" t="n">
        <v>20251001</v>
      </c>
      <c r="C6" s="5" t="n">
        <v>5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</row>
    <row r="7" customFormat="false" ht="15" hidden="false" customHeight="false" outlineLevel="0" collapsed="false">
      <c r="A7" s="5" t="n">
        <v>6</v>
      </c>
      <c r="B7" s="5" t="n">
        <v>20251101</v>
      </c>
      <c r="C7" s="5" t="n">
        <v>1</v>
      </c>
      <c r="D7" s="5" t="n">
        <v>13866</v>
      </c>
      <c r="E7" s="5" t="n">
        <v>3466</v>
      </c>
      <c r="F7" s="5" t="n">
        <v>1057399</v>
      </c>
      <c r="G7" s="5" t="n">
        <v>21131</v>
      </c>
      <c r="H7" s="5" t="n">
        <v>33</v>
      </c>
    </row>
    <row r="8" customFormat="false" ht="15" hidden="false" customHeight="false" outlineLevel="0" collapsed="false">
      <c r="A8" s="5" t="n">
        <v>7</v>
      </c>
      <c r="B8" s="5" t="n">
        <v>20251101</v>
      </c>
      <c r="C8" s="5" t="n">
        <v>2</v>
      </c>
      <c r="D8" s="5" t="n">
        <v>11282</v>
      </c>
      <c r="E8" s="5" t="n">
        <v>0</v>
      </c>
      <c r="F8" s="5" t="n">
        <v>644592</v>
      </c>
      <c r="G8" s="5" t="n">
        <v>11141</v>
      </c>
      <c r="H8" s="5" t="n">
        <v>29</v>
      </c>
    </row>
    <row r="9" customFormat="false" ht="15" hidden="false" customHeight="false" outlineLevel="0" collapsed="false">
      <c r="A9" s="5" t="n">
        <v>8</v>
      </c>
      <c r="B9" s="5" t="n">
        <v>20251101</v>
      </c>
      <c r="C9" s="5" t="n">
        <v>3</v>
      </c>
      <c r="D9" s="5" t="n">
        <v>5850</v>
      </c>
      <c r="E9" s="5" t="n">
        <v>0</v>
      </c>
      <c r="F9" s="5" t="n">
        <v>392327</v>
      </c>
      <c r="G9" s="5" t="n">
        <v>6717</v>
      </c>
      <c r="H9" s="5" t="n">
        <v>22</v>
      </c>
    </row>
    <row r="10" customFormat="false" ht="15" hidden="false" customHeight="false" outlineLevel="0" collapsed="false">
      <c r="A10" s="5" t="n">
        <v>9</v>
      </c>
      <c r="B10" s="5" t="n">
        <v>20251101</v>
      </c>
      <c r="C10" s="5" t="n">
        <v>4</v>
      </c>
      <c r="D10" s="5" t="n">
        <v>10224</v>
      </c>
      <c r="E10" s="5" t="n">
        <v>0</v>
      </c>
      <c r="F10" s="5" t="n">
        <v>579395</v>
      </c>
      <c r="G10" s="5" t="n">
        <v>10342</v>
      </c>
      <c r="H10" s="5" t="n">
        <v>17</v>
      </c>
    </row>
    <row r="11" customFormat="false" ht="15" hidden="false" customHeight="false" outlineLevel="0" collapsed="false">
      <c r="A11" s="5" t="n">
        <v>10</v>
      </c>
      <c r="B11" s="5" t="n">
        <v>20251101</v>
      </c>
      <c r="C11" s="5" t="n">
        <v>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</row>
    <row r="12" customFormat="false" ht="15" hidden="false" customHeight="false" outlineLevel="0" collapsed="false">
      <c r="A12" s="5" t="n">
        <v>11</v>
      </c>
      <c r="B12" s="5" t="n">
        <v>20251201</v>
      </c>
      <c r="C12" s="5" t="n">
        <v>1</v>
      </c>
      <c r="D12" s="5" t="n">
        <v>18046</v>
      </c>
      <c r="E12" s="5" t="n">
        <v>4511</v>
      </c>
      <c r="F12" s="5" t="n">
        <v>1384170</v>
      </c>
      <c r="G12" s="5" t="n">
        <v>20193</v>
      </c>
      <c r="H12" s="5" t="n">
        <v>43</v>
      </c>
    </row>
    <row r="13" customFormat="false" ht="15" hidden="false" customHeight="false" outlineLevel="0" collapsed="false">
      <c r="A13" s="5" t="n">
        <v>12</v>
      </c>
      <c r="B13" s="5" t="n">
        <v>20251201</v>
      </c>
      <c r="C13" s="5" t="n">
        <v>2</v>
      </c>
      <c r="D13" s="5" t="n">
        <v>15795</v>
      </c>
      <c r="E13" s="5" t="n">
        <v>0</v>
      </c>
      <c r="F13" s="5" t="n">
        <v>917255</v>
      </c>
      <c r="G13" s="5" t="n">
        <v>12352</v>
      </c>
      <c r="H13" s="5" t="n">
        <v>39</v>
      </c>
    </row>
    <row r="14" customFormat="false" ht="15" hidden="false" customHeight="false" outlineLevel="0" collapsed="false">
      <c r="A14" s="5" t="n">
        <v>13</v>
      </c>
      <c r="B14" s="5" t="n">
        <v>20251201</v>
      </c>
      <c r="C14" s="5" t="n">
        <v>3</v>
      </c>
      <c r="D14" s="5" t="n">
        <v>8385</v>
      </c>
      <c r="E14" s="5" t="n">
        <v>0</v>
      </c>
      <c r="F14" s="5" t="n">
        <v>526501</v>
      </c>
      <c r="G14" s="5" t="n">
        <v>9249</v>
      </c>
      <c r="H14" s="5" t="n">
        <v>31</v>
      </c>
    </row>
    <row r="15" customFormat="false" ht="15" hidden="false" customHeight="false" outlineLevel="0" collapsed="false">
      <c r="A15" s="5" t="n">
        <v>14</v>
      </c>
      <c r="B15" s="5" t="n">
        <v>20251201</v>
      </c>
      <c r="C15" s="5" t="n">
        <v>4</v>
      </c>
      <c r="D15" s="5" t="n">
        <v>15006</v>
      </c>
      <c r="E15" s="5" t="n">
        <v>0</v>
      </c>
      <c r="F15" s="5" t="n">
        <v>942925</v>
      </c>
      <c r="G15" s="5" t="n">
        <v>14493</v>
      </c>
      <c r="H15" s="5" t="n">
        <v>23</v>
      </c>
    </row>
    <row r="16" customFormat="false" ht="15" hidden="false" customHeight="false" outlineLevel="0" collapsed="false">
      <c r="A16" s="5" t="n">
        <v>15</v>
      </c>
      <c r="B16" s="5" t="n">
        <v>20251201</v>
      </c>
      <c r="C16" s="5" t="n">
        <v>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 customFormat="false" ht="15" hidden="false" customHeight="false" outlineLevel="0" collapsed="false">
      <c r="A17" s="5" t="n">
        <v>16</v>
      </c>
      <c r="B17" s="5" t="n">
        <v>20260101</v>
      </c>
      <c r="C17" s="5" t="n">
        <v>1</v>
      </c>
      <c r="D17" s="5" t="n">
        <v>25971</v>
      </c>
      <c r="E17" s="5" t="n">
        <v>6493</v>
      </c>
      <c r="F17" s="5" t="n">
        <v>2025299</v>
      </c>
      <c r="G17" s="5" t="n">
        <v>29958</v>
      </c>
      <c r="H17" s="5" t="n">
        <v>57</v>
      </c>
    </row>
    <row r="18" customFormat="false" ht="15" hidden="false" customHeight="false" outlineLevel="0" collapsed="false">
      <c r="A18" s="5" t="n">
        <v>17</v>
      </c>
      <c r="B18" s="5" t="n">
        <v>20260101</v>
      </c>
      <c r="C18" s="5" t="n">
        <v>2</v>
      </c>
      <c r="D18" s="5" t="n">
        <v>19157</v>
      </c>
      <c r="E18" s="5" t="n">
        <v>0</v>
      </c>
      <c r="F18" s="5" t="n">
        <v>1231606</v>
      </c>
      <c r="G18" s="5" t="n">
        <v>18677</v>
      </c>
      <c r="H18" s="5" t="n">
        <v>49</v>
      </c>
    </row>
    <row r="19" customFormat="false" ht="15" hidden="false" customHeight="false" outlineLevel="0" collapsed="false">
      <c r="A19" s="5" t="n">
        <v>18</v>
      </c>
      <c r="B19" s="5" t="n">
        <v>20260101</v>
      </c>
      <c r="C19" s="5" t="n">
        <v>3</v>
      </c>
      <c r="D19" s="5" t="n">
        <v>10170</v>
      </c>
      <c r="E19" s="5" t="n">
        <v>0</v>
      </c>
      <c r="F19" s="5" t="n">
        <v>565543</v>
      </c>
      <c r="G19" s="5" t="n">
        <v>8186</v>
      </c>
      <c r="H19" s="5" t="n">
        <v>38</v>
      </c>
    </row>
    <row r="20" customFormat="false" ht="15" hidden="false" customHeight="false" outlineLevel="0" collapsed="false">
      <c r="A20" s="5" t="n">
        <v>19</v>
      </c>
      <c r="B20" s="5" t="n">
        <v>20260101</v>
      </c>
      <c r="C20" s="5" t="n">
        <v>4</v>
      </c>
      <c r="D20" s="5" t="n">
        <v>18165</v>
      </c>
      <c r="E20" s="5" t="n">
        <v>0</v>
      </c>
      <c r="F20" s="5" t="n">
        <v>1225493</v>
      </c>
      <c r="G20" s="5" t="n">
        <v>22486</v>
      </c>
      <c r="H20" s="5" t="n">
        <v>28</v>
      </c>
    </row>
    <row r="21" customFormat="false" ht="15" hidden="false" customHeight="false" outlineLevel="0" collapsed="false">
      <c r="A21" s="5" t="n">
        <v>20</v>
      </c>
      <c r="B21" s="5" t="n">
        <v>20260101</v>
      </c>
      <c r="C21" s="5" t="n">
        <v>5</v>
      </c>
      <c r="D21" s="5" t="n">
        <v>15393</v>
      </c>
      <c r="E21" s="5" t="n">
        <v>0</v>
      </c>
      <c r="F21" s="5" t="n">
        <v>888863</v>
      </c>
      <c r="G21" s="5" t="n">
        <v>14420</v>
      </c>
      <c r="H21" s="5" t="n">
        <v>16</v>
      </c>
    </row>
    <row r="22" customFormat="false" ht="15" hidden="false" customHeight="false" outlineLevel="0" collapsed="false">
      <c r="A22" s="5" t="n">
        <v>21</v>
      </c>
      <c r="B22" s="5" t="n">
        <v>20260201</v>
      </c>
      <c r="C22" s="5" t="n">
        <v>1</v>
      </c>
      <c r="D22" s="5" t="n">
        <v>35079</v>
      </c>
      <c r="E22" s="5" t="n">
        <v>8770</v>
      </c>
      <c r="F22" s="5" t="n">
        <v>2742816</v>
      </c>
      <c r="G22" s="5" t="n">
        <v>51837</v>
      </c>
      <c r="H22" s="5" t="n">
        <v>73</v>
      </c>
    </row>
    <row r="23" customFormat="false" ht="15" hidden="false" customHeight="false" outlineLevel="0" collapsed="false">
      <c r="A23" s="5" t="n">
        <v>22</v>
      </c>
      <c r="B23" s="5" t="n">
        <v>20260201</v>
      </c>
      <c r="C23" s="5" t="n">
        <v>2</v>
      </c>
      <c r="D23" s="5" t="n">
        <v>24391</v>
      </c>
      <c r="E23" s="5" t="n">
        <v>0</v>
      </c>
      <c r="F23" s="5" t="n">
        <v>1499076</v>
      </c>
      <c r="G23" s="5" t="n">
        <v>19047</v>
      </c>
      <c r="H23" s="5" t="n">
        <v>64</v>
      </c>
    </row>
    <row r="24" customFormat="false" ht="15" hidden="false" customHeight="false" outlineLevel="0" collapsed="false">
      <c r="A24" s="5" t="n">
        <v>23</v>
      </c>
      <c r="B24" s="5" t="n">
        <v>20260201</v>
      </c>
      <c r="C24" s="5" t="n">
        <v>3</v>
      </c>
      <c r="D24" s="5" t="n">
        <v>13108</v>
      </c>
      <c r="E24" s="5" t="n">
        <v>0</v>
      </c>
      <c r="F24" s="5" t="n">
        <v>897750</v>
      </c>
      <c r="G24" s="5" t="n">
        <v>15769</v>
      </c>
      <c r="H24" s="5" t="n">
        <v>49</v>
      </c>
    </row>
    <row r="25" customFormat="false" ht="15" hidden="false" customHeight="false" outlineLevel="0" collapsed="false">
      <c r="A25" s="5" t="n">
        <v>24</v>
      </c>
      <c r="B25" s="5" t="n">
        <v>20260201</v>
      </c>
      <c r="C25" s="5" t="n">
        <v>4</v>
      </c>
      <c r="D25" s="5" t="n">
        <v>25524</v>
      </c>
      <c r="E25" s="5" t="n">
        <v>0</v>
      </c>
      <c r="F25" s="5" t="n">
        <v>1755036</v>
      </c>
      <c r="G25" s="5" t="n">
        <v>33202</v>
      </c>
      <c r="H25" s="5" t="n">
        <v>37</v>
      </c>
    </row>
    <row r="26" customFormat="false" ht="15" hidden="false" customHeight="false" outlineLevel="0" collapsed="false">
      <c r="A26" s="5" t="n">
        <v>25</v>
      </c>
      <c r="B26" s="5" t="n">
        <v>20260201</v>
      </c>
      <c r="C26" s="5" t="n">
        <v>5</v>
      </c>
      <c r="D26" s="5" t="n">
        <v>17431</v>
      </c>
      <c r="E26" s="5" t="n">
        <v>0</v>
      </c>
      <c r="F26" s="5" t="n">
        <v>1130288</v>
      </c>
      <c r="G26" s="5" t="n">
        <v>19863</v>
      </c>
      <c r="H26" s="5" t="n">
        <v>18</v>
      </c>
    </row>
    <row r="27" customFormat="false" ht="15" hidden="false" customHeight="false" outlineLevel="0" collapsed="false">
      <c r="A27" s="5" t="n">
        <v>26</v>
      </c>
      <c r="B27" s="5" t="n">
        <v>20260301</v>
      </c>
      <c r="C27" s="5" t="n">
        <v>1</v>
      </c>
      <c r="D27" s="5" t="n">
        <v>39995</v>
      </c>
      <c r="E27" s="5" t="n">
        <v>9999</v>
      </c>
      <c r="F27" s="5" t="n">
        <v>3081597</v>
      </c>
      <c r="G27" s="5" t="n">
        <v>60679</v>
      </c>
      <c r="H27" s="5" t="n">
        <v>87</v>
      </c>
    </row>
    <row r="28" customFormat="false" ht="15" hidden="false" customHeight="false" outlineLevel="0" collapsed="false">
      <c r="A28" s="5" t="n">
        <v>27</v>
      </c>
      <c r="B28" s="5" t="n">
        <v>20260301</v>
      </c>
      <c r="C28" s="5" t="n">
        <v>2</v>
      </c>
      <c r="D28" s="5" t="n">
        <v>30978</v>
      </c>
      <c r="E28" s="5" t="n">
        <v>0</v>
      </c>
      <c r="F28" s="5" t="n">
        <v>2079014</v>
      </c>
      <c r="G28" s="5" t="n">
        <v>25581</v>
      </c>
      <c r="H28" s="5" t="n">
        <v>78</v>
      </c>
    </row>
    <row r="29" customFormat="false" ht="15" hidden="false" customHeight="false" outlineLevel="0" collapsed="false">
      <c r="A29" s="5" t="n">
        <v>28</v>
      </c>
      <c r="B29" s="5" t="n">
        <v>20260301</v>
      </c>
      <c r="C29" s="5" t="n">
        <v>3</v>
      </c>
      <c r="D29" s="5" t="n">
        <v>18040</v>
      </c>
      <c r="E29" s="5" t="n">
        <v>0</v>
      </c>
      <c r="F29" s="5" t="n">
        <v>1151141</v>
      </c>
      <c r="G29" s="5" t="n">
        <v>16805</v>
      </c>
      <c r="H29" s="5" t="n">
        <v>63</v>
      </c>
    </row>
    <row r="30" customFormat="false" ht="15" hidden="false" customHeight="false" outlineLevel="0" collapsed="false">
      <c r="A30" s="5" t="n">
        <v>29</v>
      </c>
      <c r="B30" s="5" t="n">
        <v>20260301</v>
      </c>
      <c r="C30" s="5" t="n">
        <v>4</v>
      </c>
      <c r="D30" s="5" t="n">
        <v>32401</v>
      </c>
      <c r="E30" s="5" t="n">
        <v>0</v>
      </c>
      <c r="F30" s="5" t="n">
        <v>2245745</v>
      </c>
      <c r="G30" s="5" t="n">
        <v>43841</v>
      </c>
      <c r="H30" s="5" t="n">
        <v>44</v>
      </c>
    </row>
    <row r="31" customFormat="false" ht="15" hidden="false" customHeight="false" outlineLevel="0" collapsed="false">
      <c r="A31" s="5" t="n">
        <v>30</v>
      </c>
      <c r="B31" s="5" t="n">
        <v>20260301</v>
      </c>
      <c r="C31" s="5" t="n">
        <v>5</v>
      </c>
      <c r="D31" s="5" t="n">
        <v>21802</v>
      </c>
      <c r="E31" s="5" t="n">
        <v>0</v>
      </c>
      <c r="F31" s="5" t="n">
        <v>1523113</v>
      </c>
      <c r="G31" s="5" t="n">
        <v>25501</v>
      </c>
      <c r="H31" s="5" t="n">
        <v>24</v>
      </c>
    </row>
    <row r="32" customFormat="false" ht="15" hidden="false" customHeight="false" outlineLevel="0" collapsed="false">
      <c r="A32" s="5" t="n">
        <v>31</v>
      </c>
      <c r="B32" s="5" t="n">
        <v>20260401</v>
      </c>
      <c r="C32" s="5" t="n">
        <v>1</v>
      </c>
      <c r="D32" s="5" t="n">
        <v>48893</v>
      </c>
      <c r="E32" s="5" t="n">
        <v>12223</v>
      </c>
      <c r="F32" s="5" t="n">
        <v>4090138</v>
      </c>
      <c r="G32" s="5" t="n">
        <v>59969</v>
      </c>
      <c r="H32" s="5" t="n">
        <v>102</v>
      </c>
    </row>
    <row r="33" customFormat="false" ht="15" hidden="false" customHeight="false" outlineLevel="0" collapsed="false">
      <c r="A33" s="5" t="n">
        <v>32</v>
      </c>
      <c r="B33" s="5" t="n">
        <v>20260401</v>
      </c>
      <c r="C33" s="5" t="n">
        <v>2</v>
      </c>
      <c r="D33" s="5" t="n">
        <v>36297</v>
      </c>
      <c r="E33" s="5" t="n">
        <v>0</v>
      </c>
      <c r="F33" s="5" t="n">
        <v>2496266</v>
      </c>
      <c r="G33" s="5" t="n">
        <v>38270</v>
      </c>
      <c r="H33" s="5" t="n">
        <v>93</v>
      </c>
    </row>
    <row r="34" customFormat="false" ht="15" hidden="false" customHeight="false" outlineLevel="0" collapsed="false">
      <c r="A34" s="5" t="n">
        <v>33</v>
      </c>
      <c r="B34" s="5" t="n">
        <v>20260401</v>
      </c>
      <c r="C34" s="5" t="n">
        <v>3</v>
      </c>
      <c r="D34" s="5" t="n">
        <v>17168</v>
      </c>
      <c r="E34" s="5" t="n">
        <v>0</v>
      </c>
      <c r="F34" s="5" t="n">
        <v>1072482</v>
      </c>
      <c r="G34" s="5" t="n">
        <v>14846</v>
      </c>
      <c r="H34" s="5" t="n">
        <v>65</v>
      </c>
    </row>
    <row r="35" customFormat="false" ht="15" hidden="false" customHeight="false" outlineLevel="0" collapsed="false">
      <c r="A35" s="5" t="n">
        <v>34</v>
      </c>
      <c r="B35" s="5" t="n">
        <v>20260401</v>
      </c>
      <c r="C35" s="5" t="n">
        <v>4</v>
      </c>
      <c r="D35" s="5" t="n">
        <v>35136</v>
      </c>
      <c r="E35" s="5" t="n">
        <v>0</v>
      </c>
      <c r="F35" s="5" t="n">
        <v>2158611</v>
      </c>
      <c r="G35" s="5" t="n">
        <v>26379</v>
      </c>
      <c r="H35" s="5" t="n">
        <v>50</v>
      </c>
    </row>
    <row r="36" customFormat="false" ht="15" hidden="false" customHeight="false" outlineLevel="0" collapsed="false">
      <c r="A36" s="5" t="n">
        <v>35</v>
      </c>
      <c r="B36" s="5" t="n">
        <v>20260401</v>
      </c>
      <c r="C36" s="5" t="n">
        <v>5</v>
      </c>
      <c r="D36" s="5" t="n">
        <v>24821</v>
      </c>
      <c r="E36" s="5" t="n">
        <v>0</v>
      </c>
      <c r="F36" s="5" t="n">
        <v>1660254</v>
      </c>
      <c r="G36" s="5" t="n">
        <v>26096</v>
      </c>
      <c r="H36" s="5" t="n">
        <v>27</v>
      </c>
    </row>
    <row r="37" customFormat="false" ht="15" hidden="false" customHeight="false" outlineLevel="0" collapsed="false">
      <c r="A37" s="5" t="n">
        <v>36</v>
      </c>
      <c r="B37" s="5" t="n">
        <v>20260501</v>
      </c>
      <c r="C37" s="5" t="n">
        <v>1</v>
      </c>
      <c r="D37" s="5" t="n">
        <v>59422</v>
      </c>
      <c r="E37" s="5" t="n">
        <v>14855</v>
      </c>
      <c r="F37" s="5" t="n">
        <v>4354860</v>
      </c>
      <c r="G37" s="5" t="n">
        <v>55551</v>
      </c>
      <c r="H37" s="5" t="n">
        <v>117</v>
      </c>
    </row>
    <row r="38" customFormat="false" ht="15" hidden="false" customHeight="false" outlineLevel="0" collapsed="false">
      <c r="A38" s="5" t="n">
        <v>37</v>
      </c>
      <c r="B38" s="5" t="n">
        <v>20260501</v>
      </c>
      <c r="C38" s="5" t="n">
        <v>2</v>
      </c>
      <c r="D38" s="5" t="n">
        <v>42075</v>
      </c>
      <c r="E38" s="5" t="n">
        <v>0</v>
      </c>
      <c r="F38" s="5" t="n">
        <v>2489820</v>
      </c>
      <c r="G38" s="5" t="n">
        <v>45337</v>
      </c>
      <c r="H38" s="5" t="n">
        <v>107</v>
      </c>
    </row>
    <row r="39" customFormat="false" ht="15" hidden="false" customHeight="false" outlineLevel="0" collapsed="false">
      <c r="A39" s="5" t="n">
        <v>38</v>
      </c>
      <c r="B39" s="5" t="n">
        <v>20260501</v>
      </c>
      <c r="C39" s="5" t="n">
        <v>3</v>
      </c>
      <c r="D39" s="5" t="n">
        <v>20001</v>
      </c>
      <c r="E39" s="5" t="n">
        <v>0</v>
      </c>
      <c r="F39" s="5" t="n">
        <v>1310602</v>
      </c>
      <c r="G39" s="5" t="n">
        <v>22155</v>
      </c>
      <c r="H39" s="5" t="n">
        <v>74</v>
      </c>
    </row>
    <row r="40" customFormat="false" ht="15" hidden="false" customHeight="false" outlineLevel="0" collapsed="false">
      <c r="A40" s="5" t="n">
        <v>39</v>
      </c>
      <c r="B40" s="5" t="n">
        <v>20260501</v>
      </c>
      <c r="C40" s="5" t="n">
        <v>4</v>
      </c>
      <c r="D40" s="5" t="n">
        <v>42424</v>
      </c>
      <c r="E40" s="5" t="n">
        <v>0</v>
      </c>
      <c r="F40" s="5" t="n">
        <v>2940555</v>
      </c>
      <c r="G40" s="5" t="n">
        <v>48657</v>
      </c>
      <c r="H40" s="5" t="n">
        <v>60</v>
      </c>
    </row>
    <row r="41" customFormat="false" ht="15" hidden="false" customHeight="false" outlineLevel="0" collapsed="false">
      <c r="A41" s="5" t="n">
        <v>40</v>
      </c>
      <c r="B41" s="5" t="n">
        <v>20260501</v>
      </c>
      <c r="C41" s="5" t="n">
        <v>5</v>
      </c>
      <c r="D41" s="5" t="n">
        <v>30763</v>
      </c>
      <c r="E41" s="5" t="n">
        <v>0</v>
      </c>
      <c r="F41" s="5" t="n">
        <v>1995208</v>
      </c>
      <c r="G41" s="5" t="n">
        <v>25489</v>
      </c>
      <c r="H41" s="5" t="n">
        <v>31</v>
      </c>
    </row>
    <row r="42" customFormat="false" ht="15" hidden="false" customHeight="false" outlineLevel="0" collapsed="false">
      <c r="A42" s="5" t="n">
        <v>41</v>
      </c>
      <c r="B42" s="5" t="n">
        <v>20260601</v>
      </c>
      <c r="C42" s="5" t="n">
        <v>1</v>
      </c>
      <c r="D42" s="5" t="n">
        <v>68345</v>
      </c>
      <c r="E42" s="5" t="n">
        <v>17086</v>
      </c>
      <c r="F42" s="5" t="n">
        <v>5448142</v>
      </c>
      <c r="G42" s="5" t="n">
        <v>72661</v>
      </c>
      <c r="H42" s="5" t="n">
        <v>132</v>
      </c>
    </row>
    <row r="43" customFormat="false" ht="15" hidden="false" customHeight="false" outlineLevel="0" collapsed="false">
      <c r="A43" s="5" t="n">
        <v>42</v>
      </c>
      <c r="B43" s="5" t="n">
        <v>20260601</v>
      </c>
      <c r="C43" s="5" t="n">
        <v>2</v>
      </c>
      <c r="D43" s="5" t="n">
        <v>49641</v>
      </c>
      <c r="E43" s="5" t="n">
        <v>0</v>
      </c>
      <c r="F43" s="5" t="n">
        <v>3194056</v>
      </c>
      <c r="G43" s="5" t="n">
        <v>56411</v>
      </c>
      <c r="H43" s="5" t="n">
        <v>121</v>
      </c>
    </row>
    <row r="44" customFormat="false" ht="15" hidden="false" customHeight="false" outlineLevel="0" collapsed="false">
      <c r="A44" s="5" t="n">
        <v>43</v>
      </c>
      <c r="B44" s="5" t="n">
        <v>20260601</v>
      </c>
      <c r="C44" s="5" t="n">
        <v>3</v>
      </c>
      <c r="D44" s="5" t="n">
        <v>23932</v>
      </c>
      <c r="E44" s="5" t="n">
        <v>0</v>
      </c>
      <c r="F44" s="5" t="n">
        <v>1336869</v>
      </c>
      <c r="G44" s="5" t="n">
        <v>25286</v>
      </c>
      <c r="H44" s="5" t="n">
        <v>88</v>
      </c>
    </row>
    <row r="45" customFormat="false" ht="15" hidden="false" customHeight="false" outlineLevel="0" collapsed="false">
      <c r="A45" s="5" t="n">
        <v>44</v>
      </c>
      <c r="B45" s="5" t="n">
        <v>20260601</v>
      </c>
      <c r="C45" s="5" t="n">
        <v>4</v>
      </c>
      <c r="D45" s="5" t="n">
        <v>51691</v>
      </c>
      <c r="E45" s="5" t="n">
        <v>0</v>
      </c>
      <c r="F45" s="5" t="n">
        <v>2922530</v>
      </c>
      <c r="G45" s="5" t="n">
        <v>54404</v>
      </c>
      <c r="H45" s="5" t="n">
        <v>69</v>
      </c>
    </row>
    <row r="46" customFormat="false" ht="15" hidden="false" customHeight="false" outlineLevel="0" collapsed="false">
      <c r="A46" s="5" t="n">
        <v>45</v>
      </c>
      <c r="B46" s="5" t="n">
        <v>20260601</v>
      </c>
      <c r="C46" s="5" t="n">
        <v>5</v>
      </c>
      <c r="D46" s="5" t="n">
        <v>35267</v>
      </c>
      <c r="E46" s="5" t="n">
        <v>0</v>
      </c>
      <c r="F46" s="5" t="n">
        <v>2071750</v>
      </c>
      <c r="G46" s="5" t="n">
        <v>36749</v>
      </c>
      <c r="H46" s="5" t="n">
        <v>36</v>
      </c>
    </row>
    <row r="47" customFormat="false" ht="15" hidden="false" customHeight="false" outlineLevel="0" collapsed="false">
      <c r="A47" s="5" t="n">
        <v>46</v>
      </c>
      <c r="B47" s="5" t="n">
        <v>20260701</v>
      </c>
      <c r="C47" s="5" t="n">
        <v>1</v>
      </c>
      <c r="D47" s="5" t="n">
        <v>76881</v>
      </c>
      <c r="E47" s="5" t="n">
        <v>19220</v>
      </c>
      <c r="F47" s="5" t="n">
        <v>6588986</v>
      </c>
      <c r="G47" s="5" t="n">
        <v>105433</v>
      </c>
      <c r="H47" s="5" t="n">
        <v>149</v>
      </c>
    </row>
    <row r="48" customFormat="false" ht="15" hidden="false" customHeight="false" outlineLevel="0" collapsed="false">
      <c r="A48" s="5" t="n">
        <v>47</v>
      </c>
      <c r="B48" s="5" t="n">
        <v>20260701</v>
      </c>
      <c r="C48" s="5" t="n">
        <v>2</v>
      </c>
      <c r="D48" s="5" t="n">
        <v>56643</v>
      </c>
      <c r="E48" s="5" t="n">
        <v>0</v>
      </c>
      <c r="F48" s="5" t="n">
        <v>3366496</v>
      </c>
      <c r="G48" s="5" t="n">
        <v>62588</v>
      </c>
      <c r="H48" s="5" t="n">
        <v>134</v>
      </c>
    </row>
    <row r="49" customFormat="false" ht="15" hidden="false" customHeight="false" outlineLevel="0" collapsed="false">
      <c r="A49" s="5" t="n">
        <v>48</v>
      </c>
      <c r="B49" s="5" t="n">
        <v>20260701</v>
      </c>
      <c r="C49" s="5" t="n">
        <v>3</v>
      </c>
      <c r="D49" s="5" t="n">
        <v>25874</v>
      </c>
      <c r="E49" s="5" t="n">
        <v>0</v>
      </c>
      <c r="F49" s="5" t="n">
        <v>1428033</v>
      </c>
      <c r="G49" s="5" t="n">
        <v>27416</v>
      </c>
      <c r="H49" s="5" t="n">
        <v>96</v>
      </c>
    </row>
    <row r="50" customFormat="false" ht="15" hidden="false" customHeight="false" outlineLevel="0" collapsed="false">
      <c r="A50" s="5" t="n">
        <v>49</v>
      </c>
      <c r="B50" s="5" t="n">
        <v>20260701</v>
      </c>
      <c r="C50" s="5" t="n">
        <v>4</v>
      </c>
      <c r="D50" s="5" t="n">
        <v>55918</v>
      </c>
      <c r="E50" s="5" t="n">
        <v>0</v>
      </c>
      <c r="F50" s="5" t="n">
        <v>3716401</v>
      </c>
      <c r="G50" s="5" t="n">
        <v>70823</v>
      </c>
      <c r="H50" s="5" t="n">
        <v>70</v>
      </c>
    </row>
    <row r="51" customFormat="false" ht="15" hidden="false" customHeight="false" outlineLevel="0" collapsed="false">
      <c r="A51" s="5" t="n">
        <v>50</v>
      </c>
      <c r="B51" s="5" t="n">
        <v>20260701</v>
      </c>
      <c r="C51" s="5" t="n">
        <v>5</v>
      </c>
      <c r="D51" s="5" t="n">
        <v>38519</v>
      </c>
      <c r="E51" s="5" t="n">
        <v>0</v>
      </c>
      <c r="F51" s="5" t="n">
        <v>2629155</v>
      </c>
      <c r="G51" s="5" t="n">
        <v>34936</v>
      </c>
      <c r="H51" s="5" t="n">
        <v>38</v>
      </c>
    </row>
    <row r="52" customFormat="false" ht="15" hidden="false" customHeight="false" outlineLevel="0" collapsed="false">
      <c r="A52" s="5" t="n">
        <v>51</v>
      </c>
      <c r="B52" s="5" t="n">
        <v>20260801</v>
      </c>
      <c r="C52" s="5" t="n">
        <v>1</v>
      </c>
      <c r="D52" s="5" t="n">
        <v>86559</v>
      </c>
      <c r="E52" s="5" t="n">
        <v>21640</v>
      </c>
      <c r="F52" s="5" t="n">
        <v>7183829</v>
      </c>
      <c r="G52" s="5" t="n">
        <v>128093</v>
      </c>
      <c r="H52" s="5" t="n">
        <v>160</v>
      </c>
    </row>
    <row r="53" customFormat="false" ht="15" hidden="false" customHeight="false" outlineLevel="0" collapsed="false">
      <c r="A53" s="5" t="n">
        <v>52</v>
      </c>
      <c r="B53" s="5" t="n">
        <v>20260801</v>
      </c>
      <c r="C53" s="5" t="n">
        <v>2</v>
      </c>
      <c r="D53" s="5" t="n">
        <v>54648</v>
      </c>
      <c r="E53" s="5" t="n">
        <v>0</v>
      </c>
      <c r="F53" s="5" t="n">
        <v>3415717</v>
      </c>
      <c r="G53" s="5" t="n">
        <v>48768</v>
      </c>
      <c r="H53" s="5" t="n">
        <v>137</v>
      </c>
    </row>
    <row r="54" customFormat="false" ht="15" hidden="false" customHeight="false" outlineLevel="0" collapsed="false">
      <c r="A54" s="5" t="n">
        <v>53</v>
      </c>
      <c r="B54" s="5" t="n">
        <v>20260801</v>
      </c>
      <c r="C54" s="5" t="n">
        <v>3</v>
      </c>
      <c r="D54" s="5" t="n">
        <v>29361</v>
      </c>
      <c r="E54" s="5" t="n">
        <v>0</v>
      </c>
      <c r="F54" s="5" t="n">
        <v>1809241</v>
      </c>
      <c r="G54" s="5" t="n">
        <v>33468</v>
      </c>
      <c r="H54" s="5" t="n">
        <v>104</v>
      </c>
    </row>
    <row r="55" customFormat="false" ht="15" hidden="false" customHeight="false" outlineLevel="0" collapsed="false">
      <c r="A55" s="5" t="n">
        <v>54</v>
      </c>
      <c r="B55" s="5" t="n">
        <v>20260801</v>
      </c>
      <c r="C55" s="5" t="n">
        <v>4</v>
      </c>
      <c r="D55" s="5" t="n">
        <v>62042</v>
      </c>
      <c r="E55" s="5" t="n">
        <v>0</v>
      </c>
      <c r="F55" s="5" t="n">
        <v>3773884</v>
      </c>
      <c r="G55" s="5" t="n">
        <v>48103</v>
      </c>
      <c r="H55" s="5" t="n">
        <v>80</v>
      </c>
    </row>
    <row r="56" customFormat="false" ht="15" hidden="false" customHeight="false" outlineLevel="0" collapsed="false">
      <c r="A56" s="5" t="n">
        <v>55</v>
      </c>
      <c r="B56" s="5" t="n">
        <v>20260801</v>
      </c>
      <c r="C56" s="5" t="n">
        <v>5</v>
      </c>
      <c r="D56" s="5" t="n">
        <v>40110</v>
      </c>
      <c r="E56" s="5" t="n">
        <v>0</v>
      </c>
      <c r="F56" s="5" t="n">
        <v>2579346</v>
      </c>
      <c r="G56" s="5" t="n">
        <v>43028</v>
      </c>
      <c r="H56" s="5" t="n">
        <v>41</v>
      </c>
    </row>
    <row r="57" customFormat="false" ht="15" hidden="false" customHeight="false" outlineLevel="0" collapsed="false">
      <c r="A57" s="5" t="n">
        <v>56</v>
      </c>
      <c r="B57" s="5" t="n">
        <v>20260901</v>
      </c>
      <c r="C57" s="5" t="n">
        <v>1</v>
      </c>
      <c r="D57" s="5" t="n">
        <v>92094</v>
      </c>
      <c r="E57" s="5" t="n">
        <v>23023</v>
      </c>
      <c r="F57" s="5" t="n">
        <v>7776347</v>
      </c>
      <c r="G57" s="5" t="n">
        <v>154894</v>
      </c>
      <c r="H57" s="5" t="n">
        <v>170</v>
      </c>
    </row>
    <row r="58" customFormat="false" ht="15" hidden="false" customHeight="false" outlineLevel="0" collapsed="false">
      <c r="A58" s="5" t="n">
        <v>57</v>
      </c>
      <c r="B58" s="5" t="n">
        <v>20260901</v>
      </c>
      <c r="C58" s="5" t="n">
        <v>2</v>
      </c>
      <c r="D58" s="5" t="n">
        <v>63373</v>
      </c>
      <c r="E58" s="5" t="n">
        <v>0</v>
      </c>
      <c r="F58" s="5" t="n">
        <v>3568850</v>
      </c>
      <c r="G58" s="5" t="n">
        <v>54199</v>
      </c>
      <c r="H58" s="5" t="n">
        <v>152</v>
      </c>
    </row>
    <row r="59" customFormat="false" ht="15" hidden="false" customHeight="false" outlineLevel="0" collapsed="false">
      <c r="A59" s="5" t="n">
        <v>58</v>
      </c>
      <c r="B59" s="5" t="n">
        <v>20260901</v>
      </c>
      <c r="C59" s="5" t="n">
        <v>3</v>
      </c>
      <c r="D59" s="5" t="n">
        <v>32733</v>
      </c>
      <c r="E59" s="5" t="n">
        <v>0</v>
      </c>
      <c r="F59" s="5" t="n">
        <v>2286518</v>
      </c>
      <c r="G59" s="5" t="n">
        <v>38152</v>
      </c>
      <c r="H59" s="5" t="n">
        <v>112</v>
      </c>
    </row>
    <row r="60" customFormat="false" ht="15" hidden="false" customHeight="false" outlineLevel="0" collapsed="false">
      <c r="A60" s="5" t="n">
        <v>59</v>
      </c>
      <c r="B60" s="5" t="n">
        <v>20260901</v>
      </c>
      <c r="C60" s="5" t="n">
        <v>4</v>
      </c>
      <c r="D60" s="5" t="n">
        <v>71408</v>
      </c>
      <c r="E60" s="5" t="n">
        <v>0</v>
      </c>
      <c r="F60" s="5" t="n">
        <v>4748469</v>
      </c>
      <c r="G60" s="5" t="n">
        <v>69616</v>
      </c>
      <c r="H60" s="5" t="n">
        <v>90</v>
      </c>
    </row>
    <row r="61" customFormat="false" ht="15" hidden="false" customHeight="false" outlineLevel="0" collapsed="false">
      <c r="A61" s="5" t="n">
        <v>60</v>
      </c>
      <c r="B61" s="5" t="n">
        <v>20260901</v>
      </c>
      <c r="C61" s="5" t="n">
        <v>5</v>
      </c>
      <c r="D61" s="5" t="n">
        <v>43475</v>
      </c>
      <c r="E61" s="5" t="n">
        <v>0</v>
      </c>
      <c r="F61" s="5" t="n">
        <v>2976755</v>
      </c>
      <c r="G61" s="5" t="n">
        <v>40884</v>
      </c>
      <c r="H61" s="5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9" t="s">
        <v>25</v>
      </c>
      <c r="B1" s="9" t="s">
        <v>26</v>
      </c>
      <c r="C1" s="9" t="s">
        <v>28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</row>
    <row r="2" customFormat="false" ht="15" hidden="false" customHeight="false" outlineLevel="0" collapsed="false">
      <c r="A2" s="5" t="n">
        <v>1</v>
      </c>
      <c r="B2" s="5" t="n">
        <v>20251001</v>
      </c>
      <c r="C2" s="5" t="n">
        <v>1</v>
      </c>
      <c r="D2" s="5" t="n">
        <v>544</v>
      </c>
      <c r="E2" s="5" t="n">
        <v>98</v>
      </c>
      <c r="F2" s="5" t="n">
        <v>39</v>
      </c>
      <c r="G2" s="5" t="n">
        <v>24</v>
      </c>
      <c r="H2" s="5" t="n">
        <v>17</v>
      </c>
      <c r="I2" s="5" t="n">
        <v>4</v>
      </c>
    </row>
    <row r="3" customFormat="false" ht="15" hidden="false" customHeight="false" outlineLevel="0" collapsed="false">
      <c r="A3" s="5" t="n">
        <v>2</v>
      </c>
      <c r="B3" s="5" t="n">
        <v>20251001</v>
      </c>
      <c r="C3" s="5" t="n">
        <v>2</v>
      </c>
      <c r="D3" s="5" t="n">
        <v>472</v>
      </c>
      <c r="E3" s="5" t="n">
        <v>85</v>
      </c>
      <c r="F3" s="5" t="n">
        <v>34</v>
      </c>
      <c r="G3" s="5" t="n">
        <v>21</v>
      </c>
      <c r="H3" s="5" t="n">
        <v>15</v>
      </c>
      <c r="I3" s="5" t="n">
        <v>4</v>
      </c>
    </row>
    <row r="4" customFormat="false" ht="15" hidden="false" customHeight="false" outlineLevel="0" collapsed="false">
      <c r="A4" s="5" t="n">
        <v>3</v>
      </c>
      <c r="B4" s="5" t="n">
        <v>20251001</v>
      </c>
      <c r="C4" s="5" t="n">
        <v>3</v>
      </c>
      <c r="D4" s="5" t="n">
        <v>211</v>
      </c>
      <c r="E4" s="5" t="n">
        <v>38</v>
      </c>
      <c r="F4" s="5" t="n">
        <v>26</v>
      </c>
      <c r="G4" s="5" t="n">
        <v>16</v>
      </c>
      <c r="H4" s="5" t="n">
        <v>12</v>
      </c>
      <c r="I4" s="5" t="n">
        <v>3</v>
      </c>
    </row>
    <row r="5" customFormat="false" ht="15" hidden="false" customHeight="false" outlineLevel="0" collapsed="false">
      <c r="A5" s="5" t="n">
        <v>4</v>
      </c>
      <c r="B5" s="5" t="n">
        <v>20251001</v>
      </c>
      <c r="C5" s="5" t="n">
        <v>4</v>
      </c>
      <c r="D5" s="5" t="n">
        <v>267</v>
      </c>
      <c r="E5" s="5" t="n">
        <v>48</v>
      </c>
      <c r="F5" s="5" t="n">
        <v>19</v>
      </c>
      <c r="G5" s="5" t="n">
        <v>12</v>
      </c>
      <c r="H5" s="5" t="n">
        <v>9</v>
      </c>
      <c r="I5" s="5" t="n">
        <v>3</v>
      </c>
    </row>
    <row r="6" customFormat="false" ht="15" hidden="false" customHeight="false" outlineLevel="0" collapsed="false">
      <c r="A6" s="5" t="n">
        <v>5</v>
      </c>
      <c r="B6" s="5" t="n">
        <v>20251001</v>
      </c>
      <c r="C6" s="5" t="n">
        <v>5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</row>
    <row r="7" customFormat="false" ht="15" hidden="false" customHeight="false" outlineLevel="0" collapsed="false">
      <c r="A7" s="5" t="n">
        <v>6</v>
      </c>
      <c r="B7" s="5" t="n">
        <v>20251101</v>
      </c>
      <c r="C7" s="5" t="n">
        <v>1</v>
      </c>
      <c r="D7" s="5" t="n">
        <v>717</v>
      </c>
      <c r="E7" s="5" t="n">
        <v>129</v>
      </c>
      <c r="F7" s="5" t="n">
        <v>53</v>
      </c>
      <c r="G7" s="5" t="n">
        <v>33</v>
      </c>
      <c r="H7" s="5" t="n">
        <v>24</v>
      </c>
      <c r="I7" s="5" t="n">
        <v>6</v>
      </c>
    </row>
    <row r="8" customFormat="false" ht="15" hidden="false" customHeight="false" outlineLevel="0" collapsed="false">
      <c r="A8" s="5" t="n">
        <v>7</v>
      </c>
      <c r="B8" s="5" t="n">
        <v>20251101</v>
      </c>
      <c r="C8" s="5" t="n">
        <v>2</v>
      </c>
      <c r="D8" s="5" t="n">
        <v>633</v>
      </c>
      <c r="E8" s="5" t="n">
        <v>114</v>
      </c>
      <c r="F8" s="5" t="n">
        <v>47</v>
      </c>
      <c r="G8" s="5" t="n">
        <v>29</v>
      </c>
      <c r="H8" s="5" t="n">
        <v>20</v>
      </c>
      <c r="I8" s="5" t="n">
        <v>6</v>
      </c>
    </row>
    <row r="9" customFormat="false" ht="15" hidden="false" customHeight="false" outlineLevel="0" collapsed="false">
      <c r="A9" s="5" t="n">
        <v>8</v>
      </c>
      <c r="B9" s="5" t="n">
        <v>20251101</v>
      </c>
      <c r="C9" s="5" t="n">
        <v>3</v>
      </c>
      <c r="D9" s="5" t="n">
        <v>278</v>
      </c>
      <c r="E9" s="5" t="n">
        <v>50</v>
      </c>
      <c r="F9" s="5" t="n">
        <v>35</v>
      </c>
      <c r="G9" s="5" t="n">
        <v>22</v>
      </c>
      <c r="H9" s="5" t="n">
        <v>15</v>
      </c>
      <c r="I9" s="5" t="n">
        <v>5</v>
      </c>
    </row>
    <row r="10" customFormat="false" ht="15" hidden="false" customHeight="false" outlineLevel="0" collapsed="false">
      <c r="A10" s="5" t="n">
        <v>9</v>
      </c>
      <c r="B10" s="5" t="n">
        <v>20251101</v>
      </c>
      <c r="C10" s="5" t="n">
        <v>4</v>
      </c>
      <c r="D10" s="5" t="n">
        <v>367</v>
      </c>
      <c r="E10" s="5" t="n">
        <v>66</v>
      </c>
      <c r="F10" s="5" t="n">
        <v>27</v>
      </c>
      <c r="G10" s="5" t="n">
        <v>17</v>
      </c>
      <c r="H10" s="5" t="n">
        <v>12</v>
      </c>
      <c r="I10" s="5" t="n">
        <v>3</v>
      </c>
    </row>
    <row r="11" customFormat="false" ht="15" hidden="false" customHeight="false" outlineLevel="0" collapsed="false">
      <c r="A11" s="5" t="n">
        <v>10</v>
      </c>
      <c r="B11" s="5" t="n">
        <v>20251101</v>
      </c>
      <c r="C11" s="5" t="n">
        <v>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 customFormat="false" ht="15" hidden="false" customHeight="false" outlineLevel="0" collapsed="false">
      <c r="A12" s="5" t="n">
        <v>11</v>
      </c>
      <c r="B12" s="5" t="n">
        <v>20251201</v>
      </c>
      <c r="C12" s="5" t="n">
        <v>1</v>
      </c>
      <c r="D12" s="5" t="n">
        <v>906</v>
      </c>
      <c r="E12" s="5" t="n">
        <v>163</v>
      </c>
      <c r="F12" s="5" t="n">
        <v>69</v>
      </c>
      <c r="G12" s="5" t="n">
        <v>43</v>
      </c>
      <c r="H12" s="5" t="n">
        <v>32</v>
      </c>
      <c r="I12" s="5" t="n">
        <v>8</v>
      </c>
    </row>
    <row r="13" customFormat="false" ht="15" hidden="false" customHeight="false" outlineLevel="0" collapsed="false">
      <c r="A13" s="5" t="n">
        <v>12</v>
      </c>
      <c r="B13" s="5" t="n">
        <v>20251201</v>
      </c>
      <c r="C13" s="5" t="n">
        <v>2</v>
      </c>
      <c r="D13" s="5" t="n">
        <v>828</v>
      </c>
      <c r="E13" s="5" t="n">
        <v>149</v>
      </c>
      <c r="F13" s="5" t="n">
        <v>63</v>
      </c>
      <c r="G13" s="5" t="n">
        <v>39</v>
      </c>
      <c r="H13" s="5" t="n">
        <v>27</v>
      </c>
      <c r="I13" s="5" t="n">
        <v>8</v>
      </c>
    </row>
    <row r="14" customFormat="false" ht="15" hidden="false" customHeight="false" outlineLevel="0" collapsed="false">
      <c r="A14" s="5" t="n">
        <v>13</v>
      </c>
      <c r="B14" s="5" t="n">
        <v>20251201</v>
      </c>
      <c r="C14" s="5" t="n">
        <v>3</v>
      </c>
      <c r="D14" s="5" t="n">
        <v>383</v>
      </c>
      <c r="E14" s="5" t="n">
        <v>69</v>
      </c>
      <c r="F14" s="5" t="n">
        <v>50</v>
      </c>
      <c r="G14" s="5" t="n">
        <v>31</v>
      </c>
      <c r="H14" s="5" t="n">
        <v>21</v>
      </c>
      <c r="I14" s="5" t="n">
        <v>6</v>
      </c>
    </row>
    <row r="15" customFormat="false" ht="15" hidden="false" customHeight="false" outlineLevel="0" collapsed="false">
      <c r="A15" s="5" t="n">
        <v>14</v>
      </c>
      <c r="B15" s="5" t="n">
        <v>20251201</v>
      </c>
      <c r="C15" s="5" t="n">
        <v>4</v>
      </c>
      <c r="D15" s="5" t="n">
        <v>483</v>
      </c>
      <c r="E15" s="5" t="n">
        <v>87</v>
      </c>
      <c r="F15" s="5" t="n">
        <v>37</v>
      </c>
      <c r="G15" s="5" t="n">
        <v>23</v>
      </c>
      <c r="H15" s="5" t="n">
        <v>16</v>
      </c>
      <c r="I15" s="5" t="n">
        <v>4</v>
      </c>
    </row>
    <row r="16" customFormat="false" ht="15" hidden="false" customHeight="false" outlineLevel="0" collapsed="false">
      <c r="A16" s="5" t="n">
        <v>15</v>
      </c>
      <c r="B16" s="5" t="n">
        <v>20251201</v>
      </c>
      <c r="C16" s="5" t="n">
        <v>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 customFormat="false" ht="15" hidden="false" customHeight="false" outlineLevel="0" collapsed="false">
      <c r="A17" s="5" t="n">
        <v>16</v>
      </c>
      <c r="B17" s="5" t="n">
        <v>20260101</v>
      </c>
      <c r="C17" s="5" t="n">
        <v>1</v>
      </c>
      <c r="D17" s="5" t="n">
        <v>1172</v>
      </c>
      <c r="E17" s="5" t="n">
        <v>211</v>
      </c>
      <c r="F17" s="5" t="n">
        <v>92</v>
      </c>
      <c r="G17" s="5" t="n">
        <v>57</v>
      </c>
      <c r="H17" s="5" t="n">
        <v>41</v>
      </c>
      <c r="I17" s="5" t="n">
        <v>11</v>
      </c>
    </row>
    <row r="18" customFormat="false" ht="15" hidden="false" customHeight="false" outlineLevel="0" collapsed="false">
      <c r="A18" s="5" t="n">
        <v>17</v>
      </c>
      <c r="B18" s="5" t="n">
        <v>20260101</v>
      </c>
      <c r="C18" s="5" t="n">
        <v>2</v>
      </c>
      <c r="D18" s="5" t="n">
        <v>1006</v>
      </c>
      <c r="E18" s="5" t="n">
        <v>181</v>
      </c>
      <c r="F18" s="5" t="n">
        <v>79</v>
      </c>
      <c r="G18" s="5" t="n">
        <v>49</v>
      </c>
      <c r="H18" s="5" t="n">
        <v>33</v>
      </c>
      <c r="I18" s="5" t="n">
        <v>8</v>
      </c>
    </row>
    <row r="19" customFormat="false" ht="15" hidden="false" customHeight="false" outlineLevel="0" collapsed="false">
      <c r="A19" s="5" t="n">
        <v>18</v>
      </c>
      <c r="B19" s="5" t="n">
        <v>20260101</v>
      </c>
      <c r="C19" s="5" t="n">
        <v>3</v>
      </c>
      <c r="D19" s="5" t="n">
        <v>456</v>
      </c>
      <c r="E19" s="5" t="n">
        <v>82</v>
      </c>
      <c r="F19" s="5" t="n">
        <v>61</v>
      </c>
      <c r="G19" s="5" t="n">
        <v>38</v>
      </c>
      <c r="H19" s="5" t="n">
        <v>27</v>
      </c>
      <c r="I19" s="5" t="n">
        <v>7</v>
      </c>
    </row>
    <row r="20" customFormat="false" ht="15" hidden="false" customHeight="false" outlineLevel="0" collapsed="false">
      <c r="A20" s="5" t="n">
        <v>19</v>
      </c>
      <c r="B20" s="5" t="n">
        <v>20260101</v>
      </c>
      <c r="C20" s="5" t="n">
        <v>4</v>
      </c>
      <c r="D20" s="5" t="n">
        <v>572</v>
      </c>
      <c r="E20" s="5" t="n">
        <v>103</v>
      </c>
      <c r="F20" s="5" t="n">
        <v>45</v>
      </c>
      <c r="G20" s="5" t="n">
        <v>28</v>
      </c>
      <c r="H20" s="5" t="n">
        <v>19</v>
      </c>
      <c r="I20" s="5" t="n">
        <v>5</v>
      </c>
    </row>
    <row r="21" customFormat="false" ht="15" hidden="false" customHeight="false" outlineLevel="0" collapsed="false">
      <c r="A21" s="5" t="n">
        <v>20</v>
      </c>
      <c r="B21" s="5" t="n">
        <v>20260101</v>
      </c>
      <c r="C21" s="5" t="n">
        <v>5</v>
      </c>
      <c r="D21" s="5" t="n">
        <v>333</v>
      </c>
      <c r="E21" s="5" t="n">
        <v>60</v>
      </c>
      <c r="F21" s="5" t="n">
        <v>26</v>
      </c>
      <c r="G21" s="5" t="n">
        <v>16</v>
      </c>
      <c r="H21" s="5" t="n">
        <v>11</v>
      </c>
      <c r="I21" s="5" t="n">
        <v>3</v>
      </c>
    </row>
    <row r="22" customFormat="false" ht="15" hidden="false" customHeight="false" outlineLevel="0" collapsed="false">
      <c r="A22" s="5" t="n">
        <v>21</v>
      </c>
      <c r="B22" s="5" t="n">
        <v>20260201</v>
      </c>
      <c r="C22" s="5" t="n">
        <v>1</v>
      </c>
      <c r="D22" s="5" t="n">
        <v>1461</v>
      </c>
      <c r="E22" s="5" t="n">
        <v>263</v>
      </c>
      <c r="F22" s="5" t="n">
        <v>118</v>
      </c>
      <c r="G22" s="5" t="n">
        <v>73</v>
      </c>
      <c r="H22" s="5" t="n">
        <v>53</v>
      </c>
      <c r="I22" s="5" t="n">
        <v>16</v>
      </c>
    </row>
    <row r="23" customFormat="false" ht="15" hidden="false" customHeight="false" outlineLevel="0" collapsed="false">
      <c r="A23" s="5" t="n">
        <v>22</v>
      </c>
      <c r="B23" s="5" t="n">
        <v>20260201</v>
      </c>
      <c r="C23" s="5" t="n">
        <v>2</v>
      </c>
      <c r="D23" s="5" t="n">
        <v>1278</v>
      </c>
      <c r="E23" s="5" t="n">
        <v>230</v>
      </c>
      <c r="F23" s="5" t="n">
        <v>103</v>
      </c>
      <c r="G23" s="5" t="n">
        <v>64</v>
      </c>
      <c r="H23" s="5" t="n">
        <v>46</v>
      </c>
      <c r="I23" s="5" t="n">
        <v>11</v>
      </c>
    </row>
    <row r="24" customFormat="false" ht="15" hidden="false" customHeight="false" outlineLevel="0" collapsed="false">
      <c r="A24" s="5" t="n">
        <v>23</v>
      </c>
      <c r="B24" s="5" t="n">
        <v>20260201</v>
      </c>
      <c r="C24" s="5" t="n">
        <v>3</v>
      </c>
      <c r="D24" s="5" t="n">
        <v>578</v>
      </c>
      <c r="E24" s="5" t="n">
        <v>104</v>
      </c>
      <c r="F24" s="5" t="n">
        <v>79</v>
      </c>
      <c r="G24" s="5" t="n">
        <v>49</v>
      </c>
      <c r="H24" s="5" t="n">
        <v>34</v>
      </c>
      <c r="I24" s="5" t="n">
        <v>10</v>
      </c>
    </row>
    <row r="25" customFormat="false" ht="15" hidden="false" customHeight="false" outlineLevel="0" collapsed="false">
      <c r="A25" s="5" t="n">
        <v>24</v>
      </c>
      <c r="B25" s="5" t="n">
        <v>20260201</v>
      </c>
      <c r="C25" s="5" t="n">
        <v>4</v>
      </c>
      <c r="D25" s="5" t="n">
        <v>744</v>
      </c>
      <c r="E25" s="5" t="n">
        <v>134</v>
      </c>
      <c r="F25" s="5" t="n">
        <v>60</v>
      </c>
      <c r="G25" s="5" t="n">
        <v>37</v>
      </c>
      <c r="H25" s="5" t="n">
        <v>26</v>
      </c>
      <c r="I25" s="5" t="n">
        <v>8</v>
      </c>
    </row>
    <row r="26" customFormat="false" ht="15" hidden="false" customHeight="false" outlineLevel="0" collapsed="false">
      <c r="A26" s="5" t="n">
        <v>25</v>
      </c>
      <c r="B26" s="5" t="n">
        <v>20260201</v>
      </c>
      <c r="C26" s="5" t="n">
        <v>5</v>
      </c>
      <c r="D26" s="5" t="n">
        <v>361</v>
      </c>
      <c r="E26" s="5" t="n">
        <v>65</v>
      </c>
      <c r="F26" s="5" t="n">
        <v>29</v>
      </c>
      <c r="G26" s="5" t="n">
        <v>18</v>
      </c>
      <c r="H26" s="5" t="n">
        <v>13</v>
      </c>
      <c r="I26" s="5" t="n">
        <v>3</v>
      </c>
    </row>
    <row r="27" customFormat="false" ht="15" hidden="false" customHeight="false" outlineLevel="0" collapsed="false">
      <c r="A27" s="5" t="n">
        <v>26</v>
      </c>
      <c r="B27" s="5" t="n">
        <v>20260301</v>
      </c>
      <c r="C27" s="5" t="n">
        <v>1</v>
      </c>
      <c r="D27" s="5" t="n">
        <v>1689</v>
      </c>
      <c r="E27" s="5" t="n">
        <v>304</v>
      </c>
      <c r="F27" s="5" t="n">
        <v>140</v>
      </c>
      <c r="G27" s="5" t="n">
        <v>87</v>
      </c>
      <c r="H27" s="5" t="n">
        <v>61</v>
      </c>
      <c r="I27" s="5" t="n">
        <v>14</v>
      </c>
    </row>
    <row r="28" customFormat="false" ht="15" hidden="false" customHeight="false" outlineLevel="0" collapsed="false">
      <c r="A28" s="5" t="n">
        <v>27</v>
      </c>
      <c r="B28" s="5" t="n">
        <v>20260301</v>
      </c>
      <c r="C28" s="5" t="n">
        <v>2</v>
      </c>
      <c r="D28" s="5" t="n">
        <v>1522</v>
      </c>
      <c r="E28" s="5" t="n">
        <v>274</v>
      </c>
      <c r="F28" s="5" t="n">
        <v>126</v>
      </c>
      <c r="G28" s="5" t="n">
        <v>78</v>
      </c>
      <c r="H28" s="5" t="n">
        <v>54</v>
      </c>
      <c r="I28" s="5" t="n">
        <v>13</v>
      </c>
    </row>
    <row r="29" customFormat="false" ht="15" hidden="false" customHeight="false" outlineLevel="0" collapsed="false">
      <c r="A29" s="5" t="n">
        <v>28</v>
      </c>
      <c r="B29" s="5" t="n">
        <v>20260301</v>
      </c>
      <c r="C29" s="5" t="n">
        <v>3</v>
      </c>
      <c r="D29" s="5" t="n">
        <v>722</v>
      </c>
      <c r="E29" s="5" t="n">
        <v>130</v>
      </c>
      <c r="F29" s="5" t="n">
        <v>102</v>
      </c>
      <c r="G29" s="5" t="n">
        <v>63</v>
      </c>
      <c r="H29" s="5" t="n">
        <v>46</v>
      </c>
      <c r="I29" s="5" t="n">
        <v>12</v>
      </c>
    </row>
    <row r="30" customFormat="false" ht="15" hidden="false" customHeight="false" outlineLevel="0" collapsed="false">
      <c r="A30" s="5" t="n">
        <v>29</v>
      </c>
      <c r="B30" s="5" t="n">
        <v>20260301</v>
      </c>
      <c r="C30" s="5" t="n">
        <v>4</v>
      </c>
      <c r="D30" s="5" t="n">
        <v>856</v>
      </c>
      <c r="E30" s="5" t="n">
        <v>154</v>
      </c>
      <c r="F30" s="5" t="n">
        <v>71</v>
      </c>
      <c r="G30" s="5" t="n">
        <v>44</v>
      </c>
      <c r="H30" s="5" t="n">
        <v>32</v>
      </c>
      <c r="I30" s="5" t="n">
        <v>9</v>
      </c>
    </row>
    <row r="31" customFormat="false" ht="15" hidden="false" customHeight="false" outlineLevel="0" collapsed="false">
      <c r="A31" s="5" t="n">
        <v>30</v>
      </c>
      <c r="B31" s="5" t="n">
        <v>20260301</v>
      </c>
      <c r="C31" s="5" t="n">
        <v>5</v>
      </c>
      <c r="D31" s="5" t="n">
        <v>472</v>
      </c>
      <c r="E31" s="5" t="n">
        <v>85</v>
      </c>
      <c r="F31" s="5" t="n">
        <v>39</v>
      </c>
      <c r="G31" s="5" t="n">
        <v>24</v>
      </c>
      <c r="H31" s="5" t="n">
        <v>17</v>
      </c>
      <c r="I31" s="5" t="n">
        <v>5</v>
      </c>
    </row>
    <row r="32" customFormat="false" ht="15" hidden="false" customHeight="false" outlineLevel="0" collapsed="false">
      <c r="A32" s="5" t="n">
        <v>31</v>
      </c>
      <c r="B32" s="5" t="n">
        <v>20260401</v>
      </c>
      <c r="C32" s="5" t="n">
        <v>1</v>
      </c>
      <c r="D32" s="5" t="n">
        <v>1944</v>
      </c>
      <c r="E32" s="5" t="n">
        <v>350</v>
      </c>
      <c r="F32" s="5" t="n">
        <v>165</v>
      </c>
      <c r="G32" s="5" t="n">
        <v>102</v>
      </c>
      <c r="H32" s="5" t="n">
        <v>74</v>
      </c>
      <c r="I32" s="5" t="n">
        <v>21</v>
      </c>
    </row>
    <row r="33" customFormat="false" ht="15" hidden="false" customHeight="false" outlineLevel="0" collapsed="false">
      <c r="A33" s="5" t="n">
        <v>32</v>
      </c>
      <c r="B33" s="5" t="n">
        <v>20260401</v>
      </c>
      <c r="C33" s="5" t="n">
        <v>2</v>
      </c>
      <c r="D33" s="5" t="n">
        <v>1767</v>
      </c>
      <c r="E33" s="5" t="n">
        <v>318</v>
      </c>
      <c r="F33" s="5" t="n">
        <v>150</v>
      </c>
      <c r="G33" s="5" t="n">
        <v>93</v>
      </c>
      <c r="H33" s="5" t="n">
        <v>64</v>
      </c>
      <c r="I33" s="5" t="n">
        <v>16</v>
      </c>
    </row>
    <row r="34" customFormat="false" ht="15" hidden="false" customHeight="false" outlineLevel="0" collapsed="false">
      <c r="A34" s="5" t="n">
        <v>33</v>
      </c>
      <c r="B34" s="5" t="n">
        <v>20260401</v>
      </c>
      <c r="C34" s="5" t="n">
        <v>3</v>
      </c>
      <c r="D34" s="5" t="n">
        <v>728</v>
      </c>
      <c r="E34" s="5" t="n">
        <v>131</v>
      </c>
      <c r="F34" s="5" t="n">
        <v>105</v>
      </c>
      <c r="G34" s="5" t="n">
        <v>65</v>
      </c>
      <c r="H34" s="5" t="n">
        <v>46</v>
      </c>
      <c r="I34" s="5" t="n">
        <v>14</v>
      </c>
    </row>
    <row r="35" customFormat="false" ht="15" hidden="false" customHeight="false" outlineLevel="0" collapsed="false">
      <c r="A35" s="5" t="n">
        <v>34</v>
      </c>
      <c r="B35" s="5" t="n">
        <v>20260401</v>
      </c>
      <c r="C35" s="5" t="n">
        <v>4</v>
      </c>
      <c r="D35" s="5" t="n">
        <v>956</v>
      </c>
      <c r="E35" s="5" t="n">
        <v>172</v>
      </c>
      <c r="F35" s="5" t="n">
        <v>81</v>
      </c>
      <c r="G35" s="5" t="n">
        <v>50</v>
      </c>
      <c r="H35" s="5" t="n">
        <v>35</v>
      </c>
      <c r="I35" s="5" t="n">
        <v>11</v>
      </c>
    </row>
    <row r="36" customFormat="false" ht="15" hidden="false" customHeight="false" outlineLevel="0" collapsed="false">
      <c r="A36" s="5" t="n">
        <v>35</v>
      </c>
      <c r="B36" s="5" t="n">
        <v>20260401</v>
      </c>
      <c r="C36" s="5" t="n">
        <v>5</v>
      </c>
      <c r="D36" s="5" t="n">
        <v>517</v>
      </c>
      <c r="E36" s="5" t="n">
        <v>93</v>
      </c>
      <c r="F36" s="5" t="n">
        <v>44</v>
      </c>
      <c r="G36" s="5" t="n">
        <v>27</v>
      </c>
      <c r="H36" s="5" t="n">
        <v>20</v>
      </c>
      <c r="I36" s="5" t="n">
        <v>5</v>
      </c>
    </row>
    <row r="37" customFormat="false" ht="15" hidden="false" customHeight="false" outlineLevel="0" collapsed="false">
      <c r="A37" s="5" t="n">
        <v>36</v>
      </c>
      <c r="B37" s="5" t="n">
        <v>20260501</v>
      </c>
      <c r="C37" s="5" t="n">
        <v>1</v>
      </c>
      <c r="D37" s="5" t="n">
        <v>2167</v>
      </c>
      <c r="E37" s="5" t="n">
        <v>390</v>
      </c>
      <c r="F37" s="5" t="n">
        <v>189</v>
      </c>
      <c r="G37" s="5" t="n">
        <v>117</v>
      </c>
      <c r="H37" s="5" t="n">
        <v>84</v>
      </c>
      <c r="I37" s="5" t="n">
        <v>21</v>
      </c>
    </row>
    <row r="38" customFormat="false" ht="15" hidden="false" customHeight="false" outlineLevel="0" collapsed="false">
      <c r="A38" s="5" t="n">
        <v>37</v>
      </c>
      <c r="B38" s="5" t="n">
        <v>20260501</v>
      </c>
      <c r="C38" s="5" t="n">
        <v>2</v>
      </c>
      <c r="D38" s="5" t="n">
        <v>1983</v>
      </c>
      <c r="E38" s="5" t="n">
        <v>357</v>
      </c>
      <c r="F38" s="5" t="n">
        <v>173</v>
      </c>
      <c r="G38" s="5" t="n">
        <v>107</v>
      </c>
      <c r="H38" s="5" t="n">
        <v>77</v>
      </c>
      <c r="I38" s="5" t="n">
        <v>17</v>
      </c>
    </row>
    <row r="39" customFormat="false" ht="15" hidden="false" customHeight="false" outlineLevel="0" collapsed="false">
      <c r="A39" s="5" t="n">
        <v>38</v>
      </c>
      <c r="B39" s="5" t="n">
        <v>20260501</v>
      </c>
      <c r="C39" s="5" t="n">
        <v>3</v>
      </c>
      <c r="D39" s="5" t="n">
        <v>828</v>
      </c>
      <c r="E39" s="5" t="n">
        <v>149</v>
      </c>
      <c r="F39" s="5" t="n">
        <v>119</v>
      </c>
      <c r="G39" s="5" t="n">
        <v>74</v>
      </c>
      <c r="H39" s="5" t="n">
        <v>52</v>
      </c>
      <c r="I39" s="5" t="n">
        <v>13</v>
      </c>
    </row>
    <row r="40" customFormat="false" ht="15" hidden="false" customHeight="false" outlineLevel="0" collapsed="false">
      <c r="A40" s="5" t="n">
        <v>39</v>
      </c>
      <c r="B40" s="5" t="n">
        <v>20260501</v>
      </c>
      <c r="C40" s="5" t="n">
        <v>4</v>
      </c>
      <c r="D40" s="5" t="n">
        <v>1111</v>
      </c>
      <c r="E40" s="5" t="n">
        <v>200</v>
      </c>
      <c r="F40" s="5" t="n">
        <v>97</v>
      </c>
      <c r="G40" s="5" t="n">
        <v>60</v>
      </c>
      <c r="H40" s="5" t="n">
        <v>43</v>
      </c>
      <c r="I40" s="5" t="n">
        <v>12</v>
      </c>
    </row>
    <row r="41" customFormat="false" ht="15" hidden="false" customHeight="false" outlineLevel="0" collapsed="false">
      <c r="A41" s="5" t="n">
        <v>40</v>
      </c>
      <c r="B41" s="5" t="n">
        <v>20260501</v>
      </c>
      <c r="C41" s="5" t="n">
        <v>5</v>
      </c>
      <c r="D41" s="5" t="n">
        <v>572</v>
      </c>
      <c r="E41" s="5" t="n">
        <v>103</v>
      </c>
      <c r="F41" s="5" t="n">
        <v>50</v>
      </c>
      <c r="G41" s="5" t="n">
        <v>31</v>
      </c>
      <c r="H41" s="5" t="n">
        <v>22</v>
      </c>
      <c r="I41" s="5" t="n">
        <v>5</v>
      </c>
    </row>
    <row r="42" customFormat="false" ht="15" hidden="false" customHeight="false" outlineLevel="0" collapsed="false">
      <c r="A42" s="5" t="n">
        <v>41</v>
      </c>
      <c r="B42" s="5" t="n">
        <v>20260601</v>
      </c>
      <c r="C42" s="5" t="n">
        <v>1</v>
      </c>
      <c r="D42" s="5" t="n">
        <v>2383</v>
      </c>
      <c r="E42" s="5" t="n">
        <v>429</v>
      </c>
      <c r="F42" s="5" t="n">
        <v>213</v>
      </c>
      <c r="G42" s="5" t="n">
        <v>132</v>
      </c>
      <c r="H42" s="5" t="n">
        <v>93</v>
      </c>
      <c r="I42" s="5" t="n">
        <v>23</v>
      </c>
    </row>
    <row r="43" customFormat="false" ht="15" hidden="false" customHeight="false" outlineLevel="0" collapsed="false">
      <c r="A43" s="5" t="n">
        <v>42</v>
      </c>
      <c r="B43" s="5" t="n">
        <v>20260601</v>
      </c>
      <c r="C43" s="5" t="n">
        <v>2</v>
      </c>
      <c r="D43" s="5" t="n">
        <v>2183</v>
      </c>
      <c r="E43" s="5" t="n">
        <v>393</v>
      </c>
      <c r="F43" s="5" t="n">
        <v>195</v>
      </c>
      <c r="G43" s="5" t="n">
        <v>121</v>
      </c>
      <c r="H43" s="5" t="n">
        <v>84</v>
      </c>
      <c r="I43" s="5" t="n">
        <v>24</v>
      </c>
    </row>
    <row r="44" customFormat="false" ht="15" hidden="false" customHeight="false" outlineLevel="0" collapsed="false">
      <c r="A44" s="5" t="n">
        <v>43</v>
      </c>
      <c r="B44" s="5" t="n">
        <v>20260601</v>
      </c>
      <c r="C44" s="5" t="n">
        <v>3</v>
      </c>
      <c r="D44" s="5" t="n">
        <v>989</v>
      </c>
      <c r="E44" s="5" t="n">
        <v>178</v>
      </c>
      <c r="F44" s="5" t="n">
        <v>142</v>
      </c>
      <c r="G44" s="5" t="n">
        <v>88</v>
      </c>
      <c r="H44" s="5" t="n">
        <v>65</v>
      </c>
      <c r="I44" s="5" t="n">
        <v>18</v>
      </c>
    </row>
    <row r="45" customFormat="false" ht="15" hidden="false" customHeight="false" outlineLevel="0" collapsed="false">
      <c r="A45" s="5" t="n">
        <v>44</v>
      </c>
      <c r="B45" s="5" t="n">
        <v>20260601</v>
      </c>
      <c r="C45" s="5" t="n">
        <v>4</v>
      </c>
      <c r="D45" s="5" t="n">
        <v>1244</v>
      </c>
      <c r="E45" s="5" t="n">
        <v>224</v>
      </c>
      <c r="F45" s="5" t="n">
        <v>111</v>
      </c>
      <c r="G45" s="5" t="n">
        <v>69</v>
      </c>
      <c r="H45" s="5" t="n">
        <v>49</v>
      </c>
      <c r="I45" s="5" t="n">
        <v>15</v>
      </c>
    </row>
    <row r="46" customFormat="false" ht="15" hidden="false" customHeight="false" outlineLevel="0" collapsed="false">
      <c r="A46" s="5" t="n">
        <v>45</v>
      </c>
      <c r="B46" s="5" t="n">
        <v>20260601</v>
      </c>
      <c r="C46" s="5" t="n">
        <v>5</v>
      </c>
      <c r="D46" s="5" t="n">
        <v>650</v>
      </c>
      <c r="E46" s="5" t="n">
        <v>117</v>
      </c>
      <c r="F46" s="5" t="n">
        <v>58</v>
      </c>
      <c r="G46" s="5" t="n">
        <v>36</v>
      </c>
      <c r="H46" s="5" t="n">
        <v>26</v>
      </c>
      <c r="I46" s="5" t="n">
        <v>7</v>
      </c>
    </row>
    <row r="47" customFormat="false" ht="15" hidden="false" customHeight="false" outlineLevel="0" collapsed="false">
      <c r="A47" s="5" t="n">
        <v>46</v>
      </c>
      <c r="B47" s="5" t="n">
        <v>20260701</v>
      </c>
      <c r="C47" s="5" t="n">
        <v>1</v>
      </c>
      <c r="D47" s="5" t="n">
        <v>2622</v>
      </c>
      <c r="E47" s="5" t="n">
        <v>472</v>
      </c>
      <c r="F47" s="5" t="n">
        <v>240</v>
      </c>
      <c r="G47" s="5" t="n">
        <v>149</v>
      </c>
      <c r="H47" s="5" t="n">
        <v>102</v>
      </c>
      <c r="I47" s="5" t="n">
        <v>32</v>
      </c>
    </row>
    <row r="48" customFormat="false" ht="15" hidden="false" customHeight="false" outlineLevel="0" collapsed="false">
      <c r="A48" s="5" t="n">
        <v>47</v>
      </c>
      <c r="B48" s="5" t="n">
        <v>20260701</v>
      </c>
      <c r="C48" s="5" t="n">
        <v>2</v>
      </c>
      <c r="D48" s="5" t="n">
        <v>2361</v>
      </c>
      <c r="E48" s="5" t="n">
        <v>425</v>
      </c>
      <c r="F48" s="5" t="n">
        <v>216</v>
      </c>
      <c r="G48" s="5" t="n">
        <v>134</v>
      </c>
      <c r="H48" s="5" t="n">
        <v>95</v>
      </c>
      <c r="I48" s="5" t="n">
        <v>28</v>
      </c>
    </row>
    <row r="49" customFormat="false" ht="15" hidden="false" customHeight="false" outlineLevel="0" collapsed="false">
      <c r="A49" s="5" t="n">
        <v>48</v>
      </c>
      <c r="B49" s="5" t="n">
        <v>20260701</v>
      </c>
      <c r="C49" s="5" t="n">
        <v>3</v>
      </c>
      <c r="D49" s="5" t="n">
        <v>1078</v>
      </c>
      <c r="E49" s="5" t="n">
        <v>194</v>
      </c>
      <c r="F49" s="5" t="n">
        <v>155</v>
      </c>
      <c r="G49" s="5" t="n">
        <v>96</v>
      </c>
      <c r="H49" s="5" t="n">
        <v>71</v>
      </c>
      <c r="I49" s="5" t="n">
        <v>15</v>
      </c>
    </row>
    <row r="50" customFormat="false" ht="15" hidden="false" customHeight="false" outlineLevel="0" collapsed="false">
      <c r="A50" s="5" t="n">
        <v>49</v>
      </c>
      <c r="B50" s="5" t="n">
        <v>20260701</v>
      </c>
      <c r="C50" s="5" t="n">
        <v>4</v>
      </c>
      <c r="D50" s="5" t="n">
        <v>1233</v>
      </c>
      <c r="E50" s="5" t="n">
        <v>222</v>
      </c>
      <c r="F50" s="5" t="n">
        <v>113</v>
      </c>
      <c r="G50" s="5" t="n">
        <v>70</v>
      </c>
      <c r="H50" s="5" t="n">
        <v>48</v>
      </c>
      <c r="I50" s="5" t="n">
        <v>12</v>
      </c>
    </row>
    <row r="51" customFormat="false" ht="15" hidden="false" customHeight="false" outlineLevel="0" collapsed="false">
      <c r="A51" s="5" t="n">
        <v>50</v>
      </c>
      <c r="B51" s="5" t="n">
        <v>20260701</v>
      </c>
      <c r="C51" s="5" t="n">
        <v>5</v>
      </c>
      <c r="D51" s="5" t="n">
        <v>667</v>
      </c>
      <c r="E51" s="5" t="n">
        <v>120</v>
      </c>
      <c r="F51" s="5" t="n">
        <v>61</v>
      </c>
      <c r="G51" s="5" t="n">
        <v>38</v>
      </c>
      <c r="H51" s="5" t="n">
        <v>26</v>
      </c>
      <c r="I51" s="5" t="n">
        <v>8</v>
      </c>
    </row>
    <row r="52" customFormat="false" ht="15" hidden="false" customHeight="false" outlineLevel="0" collapsed="false">
      <c r="A52" s="5" t="n">
        <v>51</v>
      </c>
      <c r="B52" s="5" t="n">
        <v>20260801</v>
      </c>
      <c r="C52" s="5" t="n">
        <v>1</v>
      </c>
      <c r="D52" s="5" t="n">
        <v>2756</v>
      </c>
      <c r="E52" s="5" t="n">
        <v>496</v>
      </c>
      <c r="F52" s="5" t="n">
        <v>258</v>
      </c>
      <c r="G52" s="5" t="n">
        <v>160</v>
      </c>
      <c r="H52" s="5" t="n">
        <v>115</v>
      </c>
      <c r="I52" s="5" t="n">
        <v>30</v>
      </c>
    </row>
    <row r="53" customFormat="false" ht="15" hidden="false" customHeight="false" outlineLevel="0" collapsed="false">
      <c r="A53" s="5" t="n">
        <v>52</v>
      </c>
      <c r="B53" s="5" t="n">
        <v>20260801</v>
      </c>
      <c r="C53" s="5" t="n">
        <v>2</v>
      </c>
      <c r="D53" s="5" t="n">
        <v>2361</v>
      </c>
      <c r="E53" s="5" t="n">
        <v>425</v>
      </c>
      <c r="F53" s="5" t="n">
        <v>221</v>
      </c>
      <c r="G53" s="5" t="n">
        <v>137</v>
      </c>
      <c r="H53" s="5" t="n">
        <v>99</v>
      </c>
      <c r="I53" s="5" t="n">
        <v>23</v>
      </c>
    </row>
    <row r="54" customFormat="false" ht="15" hidden="false" customHeight="false" outlineLevel="0" collapsed="false">
      <c r="A54" s="5" t="n">
        <v>53</v>
      </c>
      <c r="B54" s="5" t="n">
        <v>20260801</v>
      </c>
      <c r="C54" s="5" t="n">
        <v>3</v>
      </c>
      <c r="D54" s="5" t="n">
        <v>1167</v>
      </c>
      <c r="E54" s="5" t="n">
        <v>210</v>
      </c>
      <c r="F54" s="5" t="n">
        <v>168</v>
      </c>
      <c r="G54" s="5" t="n">
        <v>104</v>
      </c>
      <c r="H54" s="5" t="n">
        <v>73</v>
      </c>
      <c r="I54" s="5" t="n">
        <v>19</v>
      </c>
    </row>
    <row r="55" customFormat="false" ht="15" hidden="false" customHeight="false" outlineLevel="0" collapsed="false">
      <c r="A55" s="5" t="n">
        <v>54</v>
      </c>
      <c r="B55" s="5" t="n">
        <v>20260801</v>
      </c>
      <c r="C55" s="5" t="n">
        <v>4</v>
      </c>
      <c r="D55" s="5" t="n">
        <v>1378</v>
      </c>
      <c r="E55" s="5" t="n">
        <v>248</v>
      </c>
      <c r="F55" s="5" t="n">
        <v>129</v>
      </c>
      <c r="G55" s="5" t="n">
        <v>80</v>
      </c>
      <c r="H55" s="5" t="n">
        <v>56</v>
      </c>
      <c r="I55" s="5" t="n">
        <v>17</v>
      </c>
    </row>
    <row r="56" customFormat="false" ht="15" hidden="false" customHeight="false" outlineLevel="0" collapsed="false">
      <c r="A56" s="5" t="n">
        <v>55</v>
      </c>
      <c r="B56" s="5" t="n">
        <v>20260801</v>
      </c>
      <c r="C56" s="5" t="n">
        <v>5</v>
      </c>
      <c r="D56" s="5" t="n">
        <v>706</v>
      </c>
      <c r="E56" s="5" t="n">
        <v>127</v>
      </c>
      <c r="F56" s="5" t="n">
        <v>66</v>
      </c>
      <c r="G56" s="5" t="n">
        <v>41</v>
      </c>
      <c r="H56" s="5" t="n">
        <v>29</v>
      </c>
      <c r="I56" s="5" t="n">
        <v>7</v>
      </c>
    </row>
    <row r="57" customFormat="false" ht="15" hidden="false" customHeight="false" outlineLevel="0" collapsed="false">
      <c r="A57" s="5" t="n">
        <v>56</v>
      </c>
      <c r="B57" s="5" t="n">
        <v>20260901</v>
      </c>
      <c r="C57" s="5" t="n">
        <v>1</v>
      </c>
      <c r="D57" s="5" t="n">
        <v>2861</v>
      </c>
      <c r="E57" s="5" t="n">
        <v>515</v>
      </c>
      <c r="F57" s="5" t="n">
        <v>274</v>
      </c>
      <c r="G57" s="5" t="n">
        <v>170</v>
      </c>
      <c r="H57" s="5" t="n">
        <v>116</v>
      </c>
      <c r="I57" s="5" t="n">
        <v>36</v>
      </c>
    </row>
    <row r="58" customFormat="false" ht="15" hidden="false" customHeight="false" outlineLevel="0" collapsed="false">
      <c r="A58" s="5" t="n">
        <v>57</v>
      </c>
      <c r="B58" s="5" t="n">
        <v>20260901</v>
      </c>
      <c r="C58" s="5" t="n">
        <v>2</v>
      </c>
      <c r="D58" s="5" t="n">
        <v>2561</v>
      </c>
      <c r="E58" s="5" t="n">
        <v>461</v>
      </c>
      <c r="F58" s="5" t="n">
        <v>245</v>
      </c>
      <c r="G58" s="5" t="n">
        <v>152</v>
      </c>
      <c r="H58" s="5" t="n">
        <v>109</v>
      </c>
      <c r="I58" s="5" t="n">
        <v>32</v>
      </c>
    </row>
    <row r="59" customFormat="false" ht="15" hidden="false" customHeight="false" outlineLevel="0" collapsed="false">
      <c r="A59" s="5" t="n">
        <v>58</v>
      </c>
      <c r="B59" s="5" t="n">
        <v>20260901</v>
      </c>
      <c r="C59" s="5" t="n">
        <v>3</v>
      </c>
      <c r="D59" s="5" t="n">
        <v>1256</v>
      </c>
      <c r="E59" s="5" t="n">
        <v>226</v>
      </c>
      <c r="F59" s="5" t="n">
        <v>181</v>
      </c>
      <c r="G59" s="5" t="n">
        <v>112</v>
      </c>
      <c r="H59" s="5" t="n">
        <v>76</v>
      </c>
      <c r="I59" s="5" t="n">
        <v>20</v>
      </c>
    </row>
    <row r="60" customFormat="false" ht="15" hidden="false" customHeight="false" outlineLevel="0" collapsed="false">
      <c r="A60" s="5" t="n">
        <v>59</v>
      </c>
      <c r="B60" s="5" t="n">
        <v>20260901</v>
      </c>
      <c r="C60" s="5" t="n">
        <v>4</v>
      </c>
      <c r="D60" s="5" t="n">
        <v>1517</v>
      </c>
      <c r="E60" s="5" t="n">
        <v>273</v>
      </c>
      <c r="F60" s="5" t="n">
        <v>145</v>
      </c>
      <c r="G60" s="5" t="n">
        <v>90</v>
      </c>
      <c r="H60" s="5" t="n">
        <v>64</v>
      </c>
      <c r="I60" s="5" t="n">
        <v>16</v>
      </c>
    </row>
    <row r="61" customFormat="false" ht="15" hidden="false" customHeight="false" outlineLevel="0" collapsed="false">
      <c r="A61" s="5" t="n">
        <v>60</v>
      </c>
      <c r="B61" s="5" t="n">
        <v>20260901</v>
      </c>
      <c r="C61" s="5" t="n">
        <v>5</v>
      </c>
      <c r="D61" s="5" t="n">
        <v>722</v>
      </c>
      <c r="E61" s="5" t="n">
        <v>130</v>
      </c>
      <c r="F61" s="5" t="n">
        <v>69</v>
      </c>
      <c r="G61" s="5" t="n">
        <v>43</v>
      </c>
      <c r="H61" s="5" t="n">
        <v>32</v>
      </c>
      <c r="I61" s="5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5" hidden="false" customHeight="false" outlineLevel="0" collapsed="false">
      <c r="A1" s="9" t="s">
        <v>26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</row>
    <row r="2" customFormat="false" ht="15" hidden="false" customHeight="false" outlineLevel="0" collapsed="false">
      <c r="A2" s="5" t="n">
        <v>20251001</v>
      </c>
      <c r="B2" s="5" t="n">
        <v>210000</v>
      </c>
      <c r="C2" s="5" t="n">
        <v>70000</v>
      </c>
      <c r="D2" s="5" t="n">
        <v>45000</v>
      </c>
      <c r="E2" s="5" t="n">
        <v>25000</v>
      </c>
      <c r="F2" s="5" t="n">
        <v>30000</v>
      </c>
      <c r="G2" s="5" t="n">
        <v>20000</v>
      </c>
    </row>
    <row r="3" customFormat="false" ht="15" hidden="false" customHeight="false" outlineLevel="0" collapsed="false">
      <c r="A3" s="5" t="n">
        <v>20251101</v>
      </c>
      <c r="B3" s="5" t="n">
        <v>222000</v>
      </c>
      <c r="C3" s="5" t="n">
        <v>75000</v>
      </c>
      <c r="D3" s="5" t="n">
        <v>47000</v>
      </c>
      <c r="E3" s="5" t="n">
        <v>28000</v>
      </c>
      <c r="F3" s="5" t="n">
        <v>30000</v>
      </c>
      <c r="G3" s="5" t="n">
        <v>21000</v>
      </c>
    </row>
    <row r="4" customFormat="false" ht="15" hidden="false" customHeight="false" outlineLevel="0" collapsed="false">
      <c r="A4" s="5" t="n">
        <v>20251201</v>
      </c>
      <c r="B4" s="5" t="n">
        <v>234000</v>
      </c>
      <c r="C4" s="5" t="n">
        <v>80000</v>
      </c>
      <c r="D4" s="5" t="n">
        <v>49000</v>
      </c>
      <c r="E4" s="5" t="n">
        <v>31000</v>
      </c>
      <c r="F4" s="5" t="n">
        <v>30000</v>
      </c>
      <c r="G4" s="5" t="n">
        <v>22000</v>
      </c>
    </row>
    <row r="5" customFormat="false" ht="15" hidden="false" customHeight="false" outlineLevel="0" collapsed="false">
      <c r="A5" s="5" t="n">
        <v>20260101</v>
      </c>
      <c r="B5" s="5" t="n">
        <v>246000</v>
      </c>
      <c r="C5" s="5" t="n">
        <v>85000</v>
      </c>
      <c r="D5" s="5" t="n">
        <v>51000</v>
      </c>
      <c r="E5" s="5" t="n">
        <v>34000</v>
      </c>
      <c r="F5" s="5" t="n">
        <v>30000</v>
      </c>
      <c r="G5" s="5" t="n">
        <v>23000</v>
      </c>
    </row>
    <row r="6" customFormat="false" ht="15" hidden="false" customHeight="false" outlineLevel="0" collapsed="false">
      <c r="A6" s="5" t="n">
        <v>20260201</v>
      </c>
      <c r="B6" s="5" t="n">
        <v>258000</v>
      </c>
      <c r="C6" s="5" t="n">
        <v>90000</v>
      </c>
      <c r="D6" s="5" t="n">
        <v>53000</v>
      </c>
      <c r="E6" s="5" t="n">
        <v>37000</v>
      </c>
      <c r="F6" s="5" t="n">
        <v>30000</v>
      </c>
      <c r="G6" s="5" t="n">
        <v>24000</v>
      </c>
    </row>
    <row r="7" customFormat="false" ht="15" hidden="false" customHeight="false" outlineLevel="0" collapsed="false">
      <c r="A7" s="5" t="n">
        <v>20260301</v>
      </c>
      <c r="B7" s="5" t="n">
        <v>270000</v>
      </c>
      <c r="C7" s="5" t="n">
        <v>95000</v>
      </c>
      <c r="D7" s="5" t="n">
        <v>55000</v>
      </c>
      <c r="E7" s="5" t="n">
        <v>40000</v>
      </c>
      <c r="F7" s="5" t="n">
        <v>30000</v>
      </c>
      <c r="G7" s="5" t="n">
        <v>25000</v>
      </c>
    </row>
    <row r="8" customFormat="false" ht="15" hidden="false" customHeight="false" outlineLevel="0" collapsed="false">
      <c r="A8" s="5" t="n">
        <v>20260401</v>
      </c>
      <c r="B8" s="5" t="n">
        <v>282000</v>
      </c>
      <c r="C8" s="5" t="n">
        <v>100000</v>
      </c>
      <c r="D8" s="5" t="n">
        <v>57000</v>
      </c>
      <c r="E8" s="5" t="n">
        <v>43000</v>
      </c>
      <c r="F8" s="5" t="n">
        <v>30000</v>
      </c>
      <c r="G8" s="5" t="n">
        <v>26000</v>
      </c>
    </row>
    <row r="9" customFormat="false" ht="15" hidden="false" customHeight="false" outlineLevel="0" collapsed="false">
      <c r="A9" s="5" t="n">
        <v>20260501</v>
      </c>
      <c r="B9" s="5" t="n">
        <v>294000</v>
      </c>
      <c r="C9" s="5" t="n">
        <v>105000</v>
      </c>
      <c r="D9" s="5" t="n">
        <v>59000</v>
      </c>
      <c r="E9" s="5" t="n">
        <v>46000</v>
      </c>
      <c r="F9" s="5" t="n">
        <v>30000</v>
      </c>
      <c r="G9" s="5" t="n">
        <v>27000</v>
      </c>
    </row>
    <row r="10" customFormat="false" ht="15" hidden="false" customHeight="false" outlineLevel="0" collapsed="false">
      <c r="A10" s="5" t="n">
        <v>20260601</v>
      </c>
      <c r="B10" s="5" t="n">
        <v>306000</v>
      </c>
      <c r="C10" s="5" t="n">
        <v>110000</v>
      </c>
      <c r="D10" s="5" t="n">
        <v>61000</v>
      </c>
      <c r="E10" s="5" t="n">
        <v>49000</v>
      </c>
      <c r="F10" s="5" t="n">
        <v>30000</v>
      </c>
      <c r="G10" s="5" t="n">
        <v>28000</v>
      </c>
    </row>
    <row r="11" customFormat="false" ht="15" hidden="false" customHeight="false" outlineLevel="0" collapsed="false">
      <c r="A11" s="5" t="n">
        <v>20260701</v>
      </c>
      <c r="B11" s="5" t="n">
        <v>318000</v>
      </c>
      <c r="C11" s="5" t="n">
        <v>115000</v>
      </c>
      <c r="D11" s="5" t="n">
        <v>63000</v>
      </c>
      <c r="E11" s="5" t="n">
        <v>52000</v>
      </c>
      <c r="F11" s="5" t="n">
        <v>30000</v>
      </c>
      <c r="G11" s="5" t="n">
        <v>29000</v>
      </c>
    </row>
    <row r="12" customFormat="false" ht="15" hidden="false" customHeight="false" outlineLevel="0" collapsed="false">
      <c r="A12" s="5" t="n">
        <v>20260801</v>
      </c>
      <c r="B12" s="5" t="n">
        <v>330000</v>
      </c>
      <c r="C12" s="5" t="n">
        <v>120000</v>
      </c>
      <c r="D12" s="5" t="n">
        <v>65000</v>
      </c>
      <c r="E12" s="5" t="n">
        <v>55000</v>
      </c>
      <c r="F12" s="5" t="n">
        <v>30000</v>
      </c>
      <c r="G12" s="5" t="n">
        <v>30000</v>
      </c>
    </row>
    <row r="13" customFormat="false" ht="15" hidden="false" customHeight="false" outlineLevel="0" collapsed="false">
      <c r="A13" s="5" t="n">
        <v>20260901</v>
      </c>
      <c r="B13" s="5" t="n">
        <v>342000</v>
      </c>
      <c r="C13" s="5" t="n">
        <v>125000</v>
      </c>
      <c r="D13" s="5" t="n">
        <v>67000</v>
      </c>
      <c r="E13" s="5" t="n">
        <v>58000</v>
      </c>
      <c r="F13" s="5" t="n">
        <v>30000</v>
      </c>
      <c r="G13" s="5" t="n">
        <v>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9" t="s">
        <v>25</v>
      </c>
      <c r="B1" s="9" t="s">
        <v>57</v>
      </c>
      <c r="C1" s="9" t="s">
        <v>58</v>
      </c>
      <c r="D1" s="9" t="s">
        <v>27</v>
      </c>
      <c r="E1" s="9" t="s">
        <v>59</v>
      </c>
      <c r="F1" s="9" t="s">
        <v>60</v>
      </c>
    </row>
    <row r="2" customFormat="false" ht="15" hidden="false" customHeight="false" outlineLevel="0" collapsed="false">
      <c r="A2" s="5" t="n">
        <v>1</v>
      </c>
      <c r="B2" s="5" t="n">
        <v>1</v>
      </c>
      <c r="C2" s="5" t="s">
        <v>61</v>
      </c>
      <c r="D2" s="5" t="n">
        <v>1</v>
      </c>
      <c r="E2" s="5" t="n">
        <v>200</v>
      </c>
      <c r="F2" s="5" t="n">
        <v>149</v>
      </c>
    </row>
    <row r="3" customFormat="false" ht="15" hidden="false" customHeight="false" outlineLevel="0" collapsed="false">
      <c r="A3" s="5" t="n">
        <v>2</v>
      </c>
      <c r="B3" s="5" t="n">
        <v>1</v>
      </c>
      <c r="C3" s="5" t="s">
        <v>61</v>
      </c>
      <c r="D3" s="5" t="n">
        <v>2</v>
      </c>
      <c r="E3" s="5" t="n">
        <v>208</v>
      </c>
      <c r="F3" s="5" t="n">
        <v>144</v>
      </c>
    </row>
    <row r="4" customFormat="false" ht="15" hidden="false" customHeight="false" outlineLevel="0" collapsed="false">
      <c r="A4" s="5" t="n">
        <v>3</v>
      </c>
      <c r="B4" s="5" t="n">
        <v>1</v>
      </c>
      <c r="C4" s="5" t="s">
        <v>61</v>
      </c>
      <c r="D4" s="5" t="n">
        <v>3</v>
      </c>
      <c r="E4" s="5" t="n">
        <v>186</v>
      </c>
      <c r="F4" s="5" t="n">
        <v>135</v>
      </c>
    </row>
    <row r="5" customFormat="false" ht="15" hidden="false" customHeight="false" outlineLevel="0" collapsed="false">
      <c r="A5" s="5" t="n">
        <v>4</v>
      </c>
      <c r="B5" s="5" t="n">
        <v>2</v>
      </c>
      <c r="C5" s="5" t="s">
        <v>62</v>
      </c>
      <c r="D5" s="5" t="n">
        <v>1</v>
      </c>
      <c r="E5" s="5" t="n">
        <v>199</v>
      </c>
      <c r="F5" s="5" t="n">
        <v>128</v>
      </c>
    </row>
    <row r="6" customFormat="false" ht="15" hidden="false" customHeight="false" outlineLevel="0" collapsed="false">
      <c r="A6" s="5" t="n">
        <v>5</v>
      </c>
      <c r="B6" s="5" t="n">
        <v>2</v>
      </c>
      <c r="C6" s="5" t="s">
        <v>62</v>
      </c>
      <c r="D6" s="5" t="n">
        <v>2</v>
      </c>
      <c r="E6" s="5" t="n">
        <v>200</v>
      </c>
      <c r="F6" s="5" t="n">
        <v>131</v>
      </c>
    </row>
    <row r="7" customFormat="false" ht="15" hidden="false" customHeight="false" outlineLevel="0" collapsed="false">
      <c r="A7" s="5" t="n">
        <v>6</v>
      </c>
      <c r="B7" s="5" t="n">
        <v>2</v>
      </c>
      <c r="C7" s="5" t="s">
        <v>62</v>
      </c>
      <c r="D7" s="5" t="n">
        <v>3</v>
      </c>
      <c r="E7" s="5" t="n">
        <v>209</v>
      </c>
      <c r="F7" s="5" t="n">
        <v>149</v>
      </c>
    </row>
    <row r="8" customFormat="false" ht="15" hidden="false" customHeight="false" outlineLevel="0" collapsed="false">
      <c r="A8" s="5" t="n">
        <v>7</v>
      </c>
      <c r="B8" s="5" t="n">
        <v>3</v>
      </c>
      <c r="C8" s="5" t="s">
        <v>63</v>
      </c>
      <c r="D8" s="5" t="n">
        <v>1</v>
      </c>
      <c r="E8" s="5" t="n">
        <v>199</v>
      </c>
      <c r="F8" s="5" t="n">
        <v>124</v>
      </c>
    </row>
    <row r="9" customFormat="false" ht="15" hidden="false" customHeight="false" outlineLevel="0" collapsed="false">
      <c r="A9" s="5" t="n">
        <v>8</v>
      </c>
      <c r="B9" s="5" t="n">
        <v>3</v>
      </c>
      <c r="C9" s="5" t="s">
        <v>63</v>
      </c>
      <c r="D9" s="5" t="n">
        <v>2</v>
      </c>
      <c r="E9" s="5" t="n">
        <v>207</v>
      </c>
      <c r="F9" s="5" t="n">
        <v>123</v>
      </c>
    </row>
    <row r="10" customFormat="false" ht="15" hidden="false" customHeight="false" outlineLevel="0" collapsed="false">
      <c r="A10" s="5" t="n">
        <v>9</v>
      </c>
      <c r="B10" s="5" t="n">
        <v>3</v>
      </c>
      <c r="C10" s="5" t="s">
        <v>63</v>
      </c>
      <c r="D10" s="5" t="n">
        <v>3</v>
      </c>
      <c r="E10" s="5" t="n">
        <v>176</v>
      </c>
      <c r="F10" s="5" t="n">
        <v>103</v>
      </c>
    </row>
    <row r="11" customFormat="false" ht="15" hidden="false" customHeight="false" outlineLevel="0" collapsed="false">
      <c r="A11" s="5" t="n">
        <v>10</v>
      </c>
      <c r="B11" s="5" t="n">
        <v>4</v>
      </c>
      <c r="C11" s="5" t="s">
        <v>64</v>
      </c>
      <c r="D11" s="5" t="n">
        <v>1</v>
      </c>
      <c r="E11" s="5" t="n">
        <v>198</v>
      </c>
      <c r="F11" s="5" t="n">
        <v>117</v>
      </c>
    </row>
    <row r="12" customFormat="false" ht="15" hidden="false" customHeight="false" outlineLevel="0" collapsed="false">
      <c r="A12" s="5" t="n">
        <v>11</v>
      </c>
      <c r="B12" s="5" t="n">
        <v>4</v>
      </c>
      <c r="C12" s="5" t="s">
        <v>64</v>
      </c>
      <c r="D12" s="5" t="n">
        <v>2</v>
      </c>
      <c r="E12" s="5" t="n">
        <v>209</v>
      </c>
      <c r="F12" s="5" t="n">
        <v>118</v>
      </c>
    </row>
    <row r="13" customFormat="false" ht="15" hidden="false" customHeight="false" outlineLevel="0" collapsed="false">
      <c r="A13" s="5" t="n">
        <v>12</v>
      </c>
      <c r="B13" s="5" t="n">
        <v>4</v>
      </c>
      <c r="C13" s="5" t="s">
        <v>64</v>
      </c>
      <c r="D13" s="5" t="n">
        <v>3</v>
      </c>
      <c r="E13" s="5" t="n">
        <v>177</v>
      </c>
      <c r="F13" s="5" t="n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9" t="s">
        <v>26</v>
      </c>
      <c r="B1" s="9" t="s">
        <v>65</v>
      </c>
      <c r="C1" s="9" t="s">
        <v>66</v>
      </c>
      <c r="D1" s="9" t="s">
        <v>67</v>
      </c>
    </row>
    <row r="2" customFormat="false" ht="15" hidden="false" customHeight="false" outlineLevel="0" collapsed="false">
      <c r="A2" s="5" t="n">
        <v>20251001</v>
      </c>
      <c r="B2" s="5" t="n">
        <v>2025</v>
      </c>
      <c r="C2" s="5" t="n">
        <v>10</v>
      </c>
      <c r="D2" s="5" t="s">
        <v>68</v>
      </c>
    </row>
    <row r="3" customFormat="false" ht="15" hidden="false" customHeight="false" outlineLevel="0" collapsed="false">
      <c r="A3" s="5" t="n">
        <v>20251101</v>
      </c>
      <c r="B3" s="5" t="n">
        <v>2025</v>
      </c>
      <c r="C3" s="5" t="n">
        <v>11</v>
      </c>
      <c r="D3" s="5" t="s">
        <v>69</v>
      </c>
    </row>
    <row r="4" customFormat="false" ht="15" hidden="false" customHeight="false" outlineLevel="0" collapsed="false">
      <c r="A4" s="5" t="n">
        <v>20251201</v>
      </c>
      <c r="B4" s="5" t="n">
        <v>2025</v>
      </c>
      <c r="C4" s="5" t="n">
        <v>12</v>
      </c>
      <c r="D4" s="5" t="s">
        <v>70</v>
      </c>
    </row>
    <row r="5" customFormat="false" ht="15" hidden="false" customHeight="false" outlineLevel="0" collapsed="false">
      <c r="A5" s="5" t="n">
        <v>20260101</v>
      </c>
      <c r="B5" s="5" t="n">
        <v>2026</v>
      </c>
      <c r="C5" s="5" t="n">
        <v>1</v>
      </c>
      <c r="D5" s="5" t="s">
        <v>71</v>
      </c>
    </row>
    <row r="6" customFormat="false" ht="15" hidden="false" customHeight="false" outlineLevel="0" collapsed="false">
      <c r="A6" s="5" t="n">
        <v>20260201</v>
      </c>
      <c r="B6" s="5" t="n">
        <v>2026</v>
      </c>
      <c r="C6" s="5" t="n">
        <v>2</v>
      </c>
      <c r="D6" s="5" t="s">
        <v>72</v>
      </c>
    </row>
    <row r="7" customFormat="false" ht="15" hidden="false" customHeight="false" outlineLevel="0" collapsed="false">
      <c r="A7" s="5" t="n">
        <v>20260301</v>
      </c>
      <c r="B7" s="5" t="n">
        <v>2026</v>
      </c>
      <c r="C7" s="5" t="n">
        <v>3</v>
      </c>
      <c r="D7" s="5" t="s">
        <v>73</v>
      </c>
    </row>
    <row r="8" customFormat="false" ht="15" hidden="false" customHeight="false" outlineLevel="0" collapsed="false">
      <c r="A8" s="5" t="n">
        <v>20260401</v>
      </c>
      <c r="B8" s="5" t="n">
        <v>2026</v>
      </c>
      <c r="C8" s="5" t="n">
        <v>4</v>
      </c>
      <c r="D8" s="5" t="s">
        <v>74</v>
      </c>
    </row>
    <row r="9" customFormat="false" ht="15" hidden="false" customHeight="false" outlineLevel="0" collapsed="false">
      <c r="A9" s="5" t="n">
        <v>20260501</v>
      </c>
      <c r="B9" s="5" t="n">
        <v>2026</v>
      </c>
      <c r="C9" s="5" t="n">
        <v>5</v>
      </c>
      <c r="D9" s="5" t="s">
        <v>75</v>
      </c>
    </row>
    <row r="10" customFormat="false" ht="15" hidden="false" customHeight="false" outlineLevel="0" collapsed="false">
      <c r="A10" s="5" t="n">
        <v>20260601</v>
      </c>
      <c r="B10" s="5" t="n">
        <v>2026</v>
      </c>
      <c r="C10" s="5" t="n">
        <v>6</v>
      </c>
      <c r="D10" s="5" t="s">
        <v>76</v>
      </c>
    </row>
    <row r="11" customFormat="false" ht="15" hidden="false" customHeight="false" outlineLevel="0" collapsed="false">
      <c r="A11" s="5" t="n">
        <v>20260701</v>
      </c>
      <c r="B11" s="5" t="n">
        <v>2026</v>
      </c>
      <c r="C11" s="5" t="n">
        <v>7</v>
      </c>
      <c r="D11" s="5" t="s">
        <v>77</v>
      </c>
    </row>
    <row r="12" customFormat="false" ht="15" hidden="false" customHeight="false" outlineLevel="0" collapsed="false">
      <c r="A12" s="5" t="n">
        <v>20260801</v>
      </c>
      <c r="B12" s="5" t="n">
        <v>2026</v>
      </c>
      <c r="C12" s="5" t="n">
        <v>8</v>
      </c>
      <c r="D12" s="5" t="s">
        <v>78</v>
      </c>
    </row>
    <row r="13" customFormat="false" ht="15" hidden="false" customHeight="false" outlineLevel="0" collapsed="false">
      <c r="A13" s="5" t="n">
        <v>20260901</v>
      </c>
      <c r="B13" s="5" t="n">
        <v>2026</v>
      </c>
      <c r="C13" s="5" t="n">
        <v>9</v>
      </c>
      <c r="D13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9" t="s">
        <v>27</v>
      </c>
      <c r="B1" s="9" t="s">
        <v>80</v>
      </c>
      <c r="C1" s="9" t="s">
        <v>81</v>
      </c>
    </row>
    <row r="2" customFormat="false" ht="15" hidden="false" customHeight="false" outlineLevel="0" collapsed="false">
      <c r="A2" s="5" t="n">
        <v>1</v>
      </c>
      <c r="B2" s="5" t="s">
        <v>82</v>
      </c>
      <c r="C2" s="5" t="s">
        <v>83</v>
      </c>
    </row>
    <row r="3" customFormat="false" ht="15" hidden="false" customHeight="false" outlineLevel="0" collapsed="false">
      <c r="A3" s="5" t="n">
        <v>2</v>
      </c>
      <c r="B3" s="5" t="s">
        <v>84</v>
      </c>
      <c r="C3" s="5" t="s">
        <v>85</v>
      </c>
    </row>
    <row r="4" customFormat="false" ht="15" hidden="false" customHeight="false" outlineLevel="0" collapsed="false">
      <c r="A4" s="5" t="n">
        <v>3</v>
      </c>
      <c r="B4" s="5" t="s">
        <v>86</v>
      </c>
      <c r="C4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9" t="s">
        <v>28</v>
      </c>
      <c r="B1" s="9" t="s">
        <v>88</v>
      </c>
      <c r="C1" s="9" t="s">
        <v>89</v>
      </c>
      <c r="D1" s="9" t="s">
        <v>90</v>
      </c>
      <c r="E1" s="9" t="s">
        <v>91</v>
      </c>
    </row>
    <row r="2" customFormat="false" ht="15" hidden="false" customHeight="false" outlineLevel="0" collapsed="false">
      <c r="A2" s="5" t="n">
        <v>1</v>
      </c>
      <c r="B2" s="5" t="s">
        <v>92</v>
      </c>
      <c r="C2" s="5" t="s">
        <v>93</v>
      </c>
      <c r="D2" s="5" t="n">
        <v>0</v>
      </c>
      <c r="E2" s="5" t="n">
        <v>45</v>
      </c>
    </row>
    <row r="3" customFormat="false" ht="15" hidden="false" customHeight="false" outlineLevel="0" collapsed="false">
      <c r="A3" s="5" t="n">
        <v>2</v>
      </c>
      <c r="B3" s="5" t="s">
        <v>94</v>
      </c>
      <c r="C3" s="5" t="s">
        <v>95</v>
      </c>
      <c r="D3" s="5" t="n">
        <v>0.025</v>
      </c>
      <c r="E3" s="5" t="n">
        <v>45</v>
      </c>
    </row>
    <row r="4" customFormat="false" ht="15" hidden="false" customHeight="false" outlineLevel="0" collapsed="false">
      <c r="A4" s="5" t="n">
        <v>3</v>
      </c>
      <c r="B4" s="5" t="s">
        <v>96</v>
      </c>
      <c r="C4" s="5" t="s">
        <v>97</v>
      </c>
      <c r="D4" s="5" t="n">
        <v>0.1</v>
      </c>
      <c r="E4" s="5" t="n">
        <v>45</v>
      </c>
    </row>
    <row r="5" customFormat="false" ht="15" hidden="false" customHeight="false" outlineLevel="0" collapsed="false">
      <c r="A5" s="5" t="n">
        <v>4</v>
      </c>
      <c r="B5" s="5" t="s">
        <v>98</v>
      </c>
      <c r="C5" s="5" t="s">
        <v>99</v>
      </c>
      <c r="D5" s="5" t="n">
        <v>0.06</v>
      </c>
      <c r="E5" s="5" t="n">
        <v>45</v>
      </c>
    </row>
    <row r="6" customFormat="false" ht="15" hidden="false" customHeight="false" outlineLevel="0" collapsed="false">
      <c r="A6" s="5" t="n">
        <v>5</v>
      </c>
      <c r="B6" s="5" t="s">
        <v>100</v>
      </c>
      <c r="C6" s="5" t="s">
        <v>101</v>
      </c>
      <c r="D6" s="5" t="n">
        <v>0</v>
      </c>
      <c r="E6" s="5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2026-10-05T09:11:55Z</dcterms:created>
  <dc:creator>openpyxl</dc:creator>
  <dc:description/>
  <dc:language>en-US</dc:language>
  <cp:lastModifiedBy/>
  <dcterms:modified xsi:type="dcterms:W3CDTF">2026-10-05T09:11:55Z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